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hafeie\Project\Phase 2\NewUX\"/>
    </mc:Choice>
  </mc:AlternateContent>
  <xr:revisionPtr revIDLastSave="0" documentId="13_ncr:1_{127BE734-1110-4181-B260-163D8901653D}" xr6:coauthVersionLast="47" xr6:coauthVersionMax="47" xr10:uidLastSave="{00000000-0000-0000-0000-000000000000}"/>
  <bookViews>
    <workbookView xWindow="28680" yWindow="-120" windowWidth="24240" windowHeight="13140" tabRatio="954" xr2:uid="{00000000-000D-0000-FFFF-FFFF00000000}"/>
  </bookViews>
  <sheets>
    <sheet name="Kilometrage" sheetId="3" r:id="rId1"/>
    <sheet name="Raw" sheetId="2" r:id="rId2"/>
    <sheet name="خودرو33ی333" sheetId="8" state="hidden" r:id="rId3"/>
    <sheet name="خودرو12ی547" sheetId="15" state="hidden" r:id="rId4"/>
    <sheet name="موتور21-12221" sheetId="23" state="hidden" r:id="rId5"/>
    <sheet name="موتور137-36911" sheetId="24" state="hidden" r:id="rId6"/>
    <sheet name="موتور137-36929" sheetId="25" state="hidden" r:id="rId7"/>
    <sheet name="موتور131-24926" sheetId="26" state="hidden" r:id="rId8"/>
    <sheet name="موتور131-46381" sheetId="27" state="hidden" r:id="rId9"/>
    <sheet name="موتور128-34848" sheetId="28" state="hidden" r:id="rId10"/>
    <sheet name="خودرو47ج365" sheetId="29" state="hidden" r:id="rId11"/>
    <sheet name="خودرو26س928" sheetId="30" state="hidden" r:id="rId12"/>
    <sheet name="خودرو32د786" sheetId="31" state="hidden" r:id="rId13"/>
    <sheet name="خودرو22ق333" sheetId="35" state="hidden" r:id="rId14"/>
  </sheets>
  <functionGroups builtInGroupCount="19"/>
  <definedNames>
    <definedName name="Status10">'موتور128-34848'!$A$1:$I$21</definedName>
    <definedName name="Status11">خودرو47ج365!$A$1:$I$27</definedName>
    <definedName name="Status12">خودرو26س928!$A$1:$I$27</definedName>
    <definedName name="Status13">خودرو32د786!$A$1:$I$27</definedName>
    <definedName name="Status14">خودرو22ق333!$A$1:$I$21</definedName>
    <definedName name="Status3">خودرو33ی333!$A$1:$I$18</definedName>
    <definedName name="Status4">خودرو12ی547!$A$1:$I$27</definedName>
    <definedName name="Status5">'موتور21-12221'!$A$1:$I$21</definedName>
    <definedName name="Status6">'موتور137-36911'!$A$1:$I$21</definedName>
    <definedName name="Status7">'موتور137-36929'!$A$1:$I$21</definedName>
    <definedName name="Status8">'موتور131-24926'!$A$1:$I$21</definedName>
    <definedName name="Status9">'موتور131-46381'!$A$1:$I$21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35" l="1"/>
  <c r="E10" i="15"/>
  <c r="F12" i="15" s="1"/>
  <c r="G12" i="15" s="1"/>
  <c r="H12" i="15" s="1"/>
  <c r="E10" i="31"/>
  <c r="F26" i="31" s="1"/>
  <c r="G26" i="31" s="1"/>
  <c r="H26" i="31" s="1"/>
  <c r="E10" i="30"/>
  <c r="F25" i="30" s="1"/>
  <c r="G25" i="30" s="1"/>
  <c r="H25" i="30" s="1"/>
  <c r="E10" i="29"/>
  <c r="F26" i="29" s="1"/>
  <c r="G26" i="29" s="1"/>
  <c r="H26" i="29" s="1"/>
  <c r="E10" i="28"/>
  <c r="F20" i="28" s="1"/>
  <c r="G20" i="28" s="1"/>
  <c r="H20" i="28" s="1"/>
  <c r="E10" i="27"/>
  <c r="F19" i="27" s="1"/>
  <c r="G19" i="27" s="1"/>
  <c r="H19" i="27" s="1"/>
  <c r="E10" i="26"/>
  <c r="F20" i="26" s="1"/>
  <c r="G20" i="26" s="1"/>
  <c r="H20" i="26" s="1"/>
  <c r="E10" i="25"/>
  <c r="F19" i="25" s="1"/>
  <c r="G19" i="25" s="1"/>
  <c r="H19" i="25" s="1"/>
  <c r="E10" i="24"/>
  <c r="F21" i="24" s="1"/>
  <c r="G21" i="24" s="1"/>
  <c r="H21" i="24" s="1"/>
  <c r="F27" i="15" l="1"/>
  <c r="G27" i="15" s="1"/>
  <c r="H27" i="15" s="1"/>
  <c r="F15" i="35"/>
  <c r="G15" i="35" s="1"/>
  <c r="H15" i="35" s="1"/>
  <c r="F16" i="35"/>
  <c r="G16" i="35" s="1"/>
  <c r="H16" i="35" s="1"/>
  <c r="F17" i="35"/>
  <c r="G17" i="35" s="1"/>
  <c r="H17" i="35" s="1"/>
  <c r="F18" i="35"/>
  <c r="G18" i="35" s="1"/>
  <c r="H18" i="35" s="1"/>
  <c r="F19" i="35"/>
  <c r="G19" i="35" s="1"/>
  <c r="H19" i="35" s="1"/>
  <c r="F12" i="35"/>
  <c r="G12" i="35" s="1"/>
  <c r="H12" i="35" s="1"/>
  <c r="F20" i="35"/>
  <c r="G20" i="35" s="1"/>
  <c r="H20" i="35" s="1"/>
  <c r="F13" i="35"/>
  <c r="G13" i="35" s="1"/>
  <c r="H13" i="35" s="1"/>
  <c r="F21" i="35"/>
  <c r="G21" i="35" s="1"/>
  <c r="H21" i="35" s="1"/>
  <c r="F14" i="35"/>
  <c r="G14" i="35" s="1"/>
  <c r="H14" i="35" s="1"/>
  <c r="F25" i="15"/>
  <c r="G25" i="15" s="1"/>
  <c r="H25" i="15" s="1"/>
  <c r="F17" i="15"/>
  <c r="G17" i="15" s="1"/>
  <c r="H17" i="15" s="1"/>
  <c r="F22" i="15"/>
  <c r="G22" i="15" s="1"/>
  <c r="H22" i="15" s="1"/>
  <c r="F14" i="15"/>
  <c r="G14" i="15" s="1"/>
  <c r="H14" i="15" s="1"/>
  <c r="F24" i="15"/>
  <c r="G24" i="15" s="1"/>
  <c r="H24" i="15" s="1"/>
  <c r="F16" i="15"/>
  <c r="G16" i="15" s="1"/>
  <c r="H16" i="15" s="1"/>
  <c r="F21" i="15"/>
  <c r="G21" i="15" s="1"/>
  <c r="H21" i="15" s="1"/>
  <c r="F13" i="15"/>
  <c r="G13" i="15" s="1"/>
  <c r="H13" i="15" s="1"/>
  <c r="F19" i="15"/>
  <c r="G19" i="15" s="1"/>
  <c r="H19" i="15" s="1"/>
  <c r="F23" i="15"/>
  <c r="G23" i="15" s="1"/>
  <c r="H23" i="15" s="1"/>
  <c r="F15" i="15"/>
  <c r="G15" i="15" s="1"/>
  <c r="H15" i="15" s="1"/>
  <c r="F26" i="15"/>
  <c r="G26" i="15" s="1"/>
  <c r="H26" i="15" s="1"/>
  <c r="F18" i="15"/>
  <c r="G18" i="15" s="1"/>
  <c r="H18" i="15" s="1"/>
  <c r="F20" i="15"/>
  <c r="G20" i="15" s="1"/>
  <c r="H20" i="15" s="1"/>
  <c r="F16" i="31"/>
  <c r="G16" i="31" s="1"/>
  <c r="H16" i="31" s="1"/>
  <c r="F17" i="31"/>
  <c r="G17" i="31" s="1"/>
  <c r="H17" i="31" s="1"/>
  <c r="F27" i="31"/>
  <c r="G27" i="31" s="1"/>
  <c r="H27" i="31" s="1"/>
  <c r="F16" i="30"/>
  <c r="G16" i="30" s="1"/>
  <c r="H16" i="30" s="1"/>
  <c r="F15" i="31"/>
  <c r="G15" i="31" s="1"/>
  <c r="H15" i="31" s="1"/>
  <c r="F25" i="31"/>
  <c r="G25" i="31" s="1"/>
  <c r="H25" i="31" s="1"/>
  <c r="F19" i="31"/>
  <c r="G19" i="31" s="1"/>
  <c r="H19" i="31" s="1"/>
  <c r="F15" i="26"/>
  <c r="G15" i="26" s="1"/>
  <c r="H15" i="26" s="1"/>
  <c r="F26" i="30"/>
  <c r="G26" i="30" s="1"/>
  <c r="H26" i="30" s="1"/>
  <c r="F20" i="31"/>
  <c r="G20" i="31" s="1"/>
  <c r="H20" i="31" s="1"/>
  <c r="F21" i="25"/>
  <c r="G21" i="25" s="1"/>
  <c r="H21" i="25" s="1"/>
  <c r="F18" i="25"/>
  <c r="G18" i="25" s="1"/>
  <c r="H18" i="25" s="1"/>
  <c r="F12" i="25"/>
  <c r="G12" i="25" s="1"/>
  <c r="H12" i="25" s="1"/>
  <c r="F16" i="26"/>
  <c r="G16" i="26" s="1"/>
  <c r="H16" i="26" s="1"/>
  <c r="F22" i="31"/>
  <c r="G22" i="31" s="1"/>
  <c r="H22" i="31" s="1"/>
  <c r="F16" i="25"/>
  <c r="G16" i="25" s="1"/>
  <c r="H16" i="25" s="1"/>
  <c r="F18" i="26"/>
  <c r="G18" i="26" s="1"/>
  <c r="H18" i="26" s="1"/>
  <c r="F12" i="31"/>
  <c r="G12" i="31" s="1"/>
  <c r="H12" i="31" s="1"/>
  <c r="F23" i="31"/>
  <c r="G23" i="31" s="1"/>
  <c r="H23" i="31" s="1"/>
  <c r="F17" i="25"/>
  <c r="G17" i="25" s="1"/>
  <c r="H17" i="25" s="1"/>
  <c r="F14" i="31"/>
  <c r="G14" i="31" s="1"/>
  <c r="H14" i="31" s="1"/>
  <c r="F24" i="31"/>
  <c r="G24" i="31" s="1"/>
  <c r="H24" i="31" s="1"/>
  <c r="F14" i="26"/>
  <c r="G14" i="26" s="1"/>
  <c r="H14" i="26" s="1"/>
  <c r="F15" i="28"/>
  <c r="G15" i="28" s="1"/>
  <c r="H15" i="28" s="1"/>
  <c r="F17" i="28"/>
  <c r="G17" i="28" s="1"/>
  <c r="H17" i="28" s="1"/>
  <c r="F17" i="30"/>
  <c r="G17" i="30" s="1"/>
  <c r="H17" i="30" s="1"/>
  <c r="F13" i="25"/>
  <c r="G13" i="25" s="1"/>
  <c r="H13" i="25" s="1"/>
  <c r="F12" i="26"/>
  <c r="G12" i="26" s="1"/>
  <c r="H12" i="26" s="1"/>
  <c r="F18" i="27"/>
  <c r="G18" i="27" s="1"/>
  <c r="H18" i="27" s="1"/>
  <c r="F14" i="25"/>
  <c r="G14" i="25" s="1"/>
  <c r="H14" i="25" s="1"/>
  <c r="F13" i="26"/>
  <c r="G13" i="26" s="1"/>
  <c r="H13" i="26" s="1"/>
  <c r="F21" i="26"/>
  <c r="G21" i="26" s="1"/>
  <c r="H21" i="26" s="1"/>
  <c r="F20" i="27"/>
  <c r="G20" i="27" s="1"/>
  <c r="H20" i="27" s="1"/>
  <c r="F19" i="28"/>
  <c r="G19" i="28" s="1"/>
  <c r="H19" i="28" s="1"/>
  <c r="F21" i="30"/>
  <c r="G21" i="30" s="1"/>
  <c r="H21" i="30" s="1"/>
  <c r="F12" i="27"/>
  <c r="G12" i="27" s="1"/>
  <c r="H12" i="27" s="1"/>
  <c r="F21" i="27"/>
  <c r="G21" i="27" s="1"/>
  <c r="H21" i="27" s="1"/>
  <c r="F21" i="28"/>
  <c r="G21" i="28" s="1"/>
  <c r="H21" i="28" s="1"/>
  <c r="F23" i="30"/>
  <c r="G23" i="30" s="1"/>
  <c r="H23" i="30" s="1"/>
  <c r="F13" i="27"/>
  <c r="G13" i="27" s="1"/>
  <c r="H13" i="27" s="1"/>
  <c r="F13" i="28"/>
  <c r="G13" i="28" s="1"/>
  <c r="H13" i="28" s="1"/>
  <c r="F20" i="25"/>
  <c r="G20" i="25" s="1"/>
  <c r="H20" i="25" s="1"/>
  <c r="F17" i="26"/>
  <c r="G17" i="26" s="1"/>
  <c r="H17" i="26" s="1"/>
  <c r="F14" i="27"/>
  <c r="G14" i="27" s="1"/>
  <c r="H14" i="27" s="1"/>
  <c r="F14" i="28"/>
  <c r="G14" i="28" s="1"/>
  <c r="H14" i="28" s="1"/>
  <c r="F14" i="30"/>
  <c r="G14" i="30" s="1"/>
  <c r="H14" i="30" s="1"/>
  <c r="F16" i="27"/>
  <c r="G16" i="27" s="1"/>
  <c r="H16" i="27" s="1"/>
  <c r="F19" i="26"/>
  <c r="G19" i="26" s="1"/>
  <c r="H19" i="26" s="1"/>
  <c r="F17" i="27"/>
  <c r="G17" i="27" s="1"/>
  <c r="H17" i="27" s="1"/>
  <c r="F18" i="28"/>
  <c r="G18" i="28" s="1"/>
  <c r="H18" i="28" s="1"/>
  <c r="F20" i="30"/>
  <c r="G20" i="30" s="1"/>
  <c r="H20" i="30" s="1"/>
  <c r="F13" i="31"/>
  <c r="G13" i="31" s="1"/>
  <c r="H13" i="31" s="1"/>
  <c r="F18" i="31"/>
  <c r="G18" i="31" s="1"/>
  <c r="H18" i="31" s="1"/>
  <c r="F21" i="31"/>
  <c r="G21" i="31" s="1"/>
  <c r="H21" i="31" s="1"/>
  <c r="F27" i="30"/>
  <c r="G27" i="30" s="1"/>
  <c r="H27" i="30" s="1"/>
  <c r="F12" i="30"/>
  <c r="G12" i="30" s="1"/>
  <c r="H12" i="30" s="1"/>
  <c r="F15" i="30"/>
  <c r="G15" i="30" s="1"/>
  <c r="H15" i="30" s="1"/>
  <c r="F18" i="30"/>
  <c r="G18" i="30" s="1"/>
  <c r="H18" i="30" s="1"/>
  <c r="F24" i="30"/>
  <c r="G24" i="30" s="1"/>
  <c r="H24" i="30" s="1"/>
  <c r="F13" i="30"/>
  <c r="G13" i="30" s="1"/>
  <c r="H13" i="30" s="1"/>
  <c r="F19" i="30"/>
  <c r="G19" i="30" s="1"/>
  <c r="H19" i="30" s="1"/>
  <c r="F22" i="30"/>
  <c r="G22" i="30" s="1"/>
  <c r="H22" i="30" s="1"/>
  <c r="F14" i="29"/>
  <c r="G14" i="29" s="1"/>
  <c r="H14" i="29" s="1"/>
  <c r="F19" i="29"/>
  <c r="G19" i="29" s="1"/>
  <c r="H19" i="29" s="1"/>
  <c r="F24" i="29"/>
  <c r="G24" i="29" s="1"/>
  <c r="H24" i="29" s="1"/>
  <c r="F12" i="29"/>
  <c r="G12" i="29" s="1"/>
  <c r="H12" i="29" s="1"/>
  <c r="F18" i="29"/>
  <c r="G18" i="29" s="1"/>
  <c r="H18" i="29" s="1"/>
  <c r="F22" i="29"/>
  <c r="G22" i="29" s="1"/>
  <c r="H22" i="29" s="1"/>
  <c r="F15" i="29"/>
  <c r="G15" i="29" s="1"/>
  <c r="H15" i="29" s="1"/>
  <c r="F20" i="29"/>
  <c r="G20" i="29" s="1"/>
  <c r="H20" i="29" s="1"/>
  <c r="F25" i="29"/>
  <c r="G25" i="29" s="1"/>
  <c r="H25" i="29" s="1"/>
  <c r="F17" i="29"/>
  <c r="G17" i="29" s="1"/>
  <c r="H17" i="29" s="1"/>
  <c r="F21" i="29"/>
  <c r="G21" i="29" s="1"/>
  <c r="H21" i="29" s="1"/>
  <c r="F27" i="29"/>
  <c r="G27" i="29" s="1"/>
  <c r="H27" i="29" s="1"/>
  <c r="F13" i="29"/>
  <c r="G13" i="29" s="1"/>
  <c r="H13" i="29" s="1"/>
  <c r="F16" i="29"/>
  <c r="G16" i="29" s="1"/>
  <c r="H16" i="29" s="1"/>
  <c r="F23" i="29"/>
  <c r="G23" i="29" s="1"/>
  <c r="H23" i="29" s="1"/>
  <c r="F12" i="28"/>
  <c r="G12" i="28" s="1"/>
  <c r="H12" i="28" s="1"/>
  <c r="F16" i="28"/>
  <c r="G16" i="28" s="1"/>
  <c r="H16" i="28" s="1"/>
  <c r="F15" i="27"/>
  <c r="G15" i="27" s="1"/>
  <c r="H15" i="27" s="1"/>
  <c r="F15" i="25"/>
  <c r="G15" i="25" s="1"/>
  <c r="H15" i="25" s="1"/>
  <c r="F14" i="24"/>
  <c r="G14" i="24" s="1"/>
  <c r="H14" i="24" s="1"/>
  <c r="F18" i="24"/>
  <c r="G18" i="24" s="1"/>
  <c r="H18" i="24" s="1"/>
  <c r="F12" i="24"/>
  <c r="G12" i="24" s="1"/>
  <c r="H12" i="24" s="1"/>
  <c r="F20" i="24"/>
  <c r="G20" i="24" s="1"/>
  <c r="H20" i="24" s="1"/>
  <c r="F15" i="24"/>
  <c r="G15" i="24" s="1"/>
  <c r="H15" i="24" s="1"/>
  <c r="F19" i="24"/>
  <c r="G19" i="24" s="1"/>
  <c r="H19" i="24" s="1"/>
  <c r="F16" i="24"/>
  <c r="G16" i="24" s="1"/>
  <c r="H16" i="24" s="1"/>
  <c r="F13" i="24"/>
  <c r="G13" i="24" s="1"/>
  <c r="H13" i="24" s="1"/>
  <c r="F17" i="24"/>
  <c r="G17" i="24" s="1"/>
  <c r="H17" i="24" s="1"/>
  <c r="E10" i="23"/>
  <c r="F19" i="23" s="1"/>
  <c r="G19" i="23" s="1"/>
  <c r="H19" i="23" s="1"/>
  <c r="F20" i="23" l="1"/>
  <c r="G20" i="23" s="1"/>
  <c r="H20" i="23" s="1"/>
  <c r="F21" i="23"/>
  <c r="G21" i="23" s="1"/>
  <c r="H21" i="23" s="1"/>
  <c r="F12" i="23"/>
  <c r="G12" i="23" s="1"/>
  <c r="H12" i="23" s="1"/>
  <c r="F13" i="23"/>
  <c r="G13" i="23" s="1"/>
  <c r="H13" i="23" s="1"/>
  <c r="F14" i="23"/>
  <c r="G14" i="23" s="1"/>
  <c r="H14" i="23" s="1"/>
  <c r="F15" i="23"/>
  <c r="G15" i="23" s="1"/>
  <c r="H15" i="23" s="1"/>
  <c r="F16" i="23"/>
  <c r="G16" i="23" s="1"/>
  <c r="H16" i="23" s="1"/>
  <c r="F17" i="23"/>
  <c r="G17" i="23" s="1"/>
  <c r="H17" i="23" s="1"/>
  <c r="F18" i="23"/>
  <c r="G18" i="23" s="1"/>
  <c r="H18" i="23" s="1"/>
  <c r="E10" i="8"/>
  <c r="F17" i="8" s="1"/>
  <c r="G17" i="8" s="1"/>
  <c r="H17" i="8" s="1"/>
  <c r="F18" i="8" l="1"/>
  <c r="G18" i="8" s="1"/>
  <c r="H18" i="8" s="1"/>
  <c r="F12" i="8"/>
  <c r="G12" i="8" s="1"/>
  <c r="H12" i="8" s="1"/>
  <c r="F13" i="8"/>
  <c r="G13" i="8" s="1"/>
  <c r="H13" i="8" s="1"/>
  <c r="F14" i="8"/>
  <c r="G14" i="8" s="1"/>
  <c r="H14" i="8" s="1"/>
  <c r="F15" i="8"/>
  <c r="G15" i="8" s="1"/>
  <c r="H15" i="8" s="1"/>
  <c r="F16" i="8"/>
  <c r="G16" i="8" s="1"/>
  <c r="H16" i="8" s="1"/>
  <c r="F27" i="2"/>
  <c r="G27" i="2" s="1"/>
  <c r="H27" i="2" s="1"/>
  <c r="F22" i="2" l="1"/>
  <c r="G22" i="2" s="1"/>
  <c r="H22" i="2" s="1"/>
  <c r="F15" i="2"/>
  <c r="G15" i="2" s="1"/>
  <c r="H15" i="2" s="1"/>
  <c r="F23" i="2"/>
  <c r="G23" i="2" s="1"/>
  <c r="H23" i="2" s="1"/>
  <c r="F14" i="2"/>
  <c r="G14" i="2" s="1"/>
  <c r="H14" i="2" s="1"/>
  <c r="F18" i="2"/>
  <c r="G18" i="2" s="1"/>
  <c r="H18" i="2" s="1"/>
  <c r="F25" i="2"/>
  <c r="G25" i="2" s="1"/>
  <c r="H25" i="2" s="1"/>
  <c r="F20" i="2"/>
  <c r="G20" i="2" s="1"/>
  <c r="H20" i="2" s="1"/>
  <c r="F21" i="2"/>
  <c r="G21" i="2" s="1"/>
  <c r="H21" i="2" s="1"/>
  <c r="F26" i="2"/>
  <c r="G26" i="2" s="1"/>
  <c r="H26" i="2" s="1"/>
  <c r="F16" i="2"/>
  <c r="G16" i="2" s="1"/>
  <c r="H16" i="2" s="1"/>
  <c r="F24" i="2"/>
  <c r="G24" i="2" s="1"/>
  <c r="H24" i="2" s="1"/>
  <c r="F17" i="2"/>
  <c r="G17" i="2" s="1"/>
  <c r="H17" i="2" s="1"/>
  <c r="F12" i="2"/>
  <c r="G12" i="2" s="1"/>
  <c r="H12" i="2" s="1"/>
  <c r="F13" i="2"/>
  <c r="G13" i="2" s="1"/>
  <c r="H13" i="2" s="1"/>
  <c r="F19" i="2"/>
  <c r="G19" i="2" s="1"/>
  <c r="H19" i="2" s="1"/>
</calcChain>
</file>

<file path=xl/sharedStrings.xml><?xml version="1.0" encoding="utf-8"?>
<sst xmlns="http://schemas.openxmlformats.org/spreadsheetml/2006/main" count="747" uniqueCount="146">
  <si>
    <t>نام راننده</t>
  </si>
  <si>
    <t>شماره راننده</t>
  </si>
  <si>
    <t>شماره موتور</t>
  </si>
  <si>
    <t>مدل/سال ساخت</t>
  </si>
  <si>
    <t>رنگ</t>
  </si>
  <si>
    <t>استاندارد کارکرد</t>
  </si>
  <si>
    <t>روغن موتور</t>
  </si>
  <si>
    <t>آب رادیاتور و ضدیخ</t>
  </si>
  <si>
    <t>روغن ترمز</t>
  </si>
  <si>
    <t>لنت ترمز جلو</t>
  </si>
  <si>
    <t>لنت ترمز عقب</t>
  </si>
  <si>
    <t>تسمه یا زنجیر تایم</t>
  </si>
  <si>
    <t>روغن گیربکس</t>
  </si>
  <si>
    <t>لاستیک</t>
  </si>
  <si>
    <t>باتری</t>
  </si>
  <si>
    <t>شماره پلاک انتظامي</t>
  </si>
  <si>
    <t>آخرين قرائت کيلومتر</t>
  </si>
  <si>
    <t>تاريخ قرائت</t>
  </si>
  <si>
    <t>تاريخ تحويل</t>
  </si>
  <si>
    <t>شرکت پيشگامان سازه تجارت پارس PCSP</t>
  </si>
  <si>
    <t>نوع وسيله نقليه</t>
  </si>
  <si>
    <t>ايران</t>
  </si>
  <si>
    <t>شماره شاسي</t>
  </si>
  <si>
    <t>واحد تحويلي</t>
  </si>
  <si>
    <t>قرائت کيلومتر فعلي</t>
  </si>
  <si>
    <t>آيتم سرويسي</t>
  </si>
  <si>
    <t xml:space="preserve">کيلومتر تعويض قبلي </t>
  </si>
  <si>
    <t>کيلومتر فعلي</t>
  </si>
  <si>
    <t>کيلومتر کارکرد آيتم</t>
  </si>
  <si>
    <t>تعويض</t>
  </si>
  <si>
    <t>فيلتر روغن</t>
  </si>
  <si>
    <t>فيلتر هوا</t>
  </si>
  <si>
    <t>فيلتر کابين</t>
  </si>
  <si>
    <t>روغن هيدروليک</t>
  </si>
  <si>
    <t>واير شمع</t>
  </si>
  <si>
    <t>ديسک و صفحه</t>
  </si>
  <si>
    <t>پرايد</t>
  </si>
  <si>
    <t>ي</t>
  </si>
  <si>
    <t>سفيد</t>
  </si>
  <si>
    <t>شمع</t>
  </si>
  <si>
    <t>ی</t>
  </si>
  <si>
    <t>شسی</t>
  </si>
  <si>
    <t>سفید</t>
  </si>
  <si>
    <t>شسب</t>
  </si>
  <si>
    <t>123654</t>
  </si>
  <si>
    <t>یا</t>
  </si>
  <si>
    <t>1</t>
  </si>
  <si>
    <t>موتور21-12221</t>
  </si>
  <si>
    <t>کیلومتر تا تعويض</t>
  </si>
  <si>
    <t>انژکتوری</t>
  </si>
  <si>
    <t>0199NEK090379</t>
  </si>
  <si>
    <t>موتور137-36911</t>
  </si>
  <si>
    <t>0199NEK090343</t>
  </si>
  <si>
    <t>موتور137-36929</t>
  </si>
  <si>
    <t>0197N5P963224</t>
  </si>
  <si>
    <t>مشکی</t>
  </si>
  <si>
    <t>موتور131-24926</t>
  </si>
  <si>
    <t>0199NEK015228</t>
  </si>
  <si>
    <t>موتور131-46381</t>
  </si>
  <si>
    <t>NCR20092115476</t>
  </si>
  <si>
    <t>موتور128-34848</t>
  </si>
  <si>
    <t>ج</t>
  </si>
  <si>
    <t>پیکان وانت</t>
  </si>
  <si>
    <t>118P0019988</t>
  </si>
  <si>
    <t>سفید شیری روغنی</t>
  </si>
  <si>
    <t>س</t>
  </si>
  <si>
    <t>پراید وانت</t>
  </si>
  <si>
    <t>M13/6119296</t>
  </si>
  <si>
    <t>آقای خزایی -مالی</t>
  </si>
  <si>
    <t>د</t>
  </si>
  <si>
    <t>پژو پرشیا</t>
  </si>
  <si>
    <t>خودرو33ی333</t>
  </si>
  <si>
    <t>خودرو12ی547</t>
  </si>
  <si>
    <t>خودرو47ج365</t>
  </si>
  <si>
    <t>خودرو26س928</t>
  </si>
  <si>
    <t>خودرو32د786</t>
  </si>
  <si>
    <t>qwe</t>
  </si>
  <si>
    <t>کیلومتراژ زمان تحویل</t>
  </si>
  <si>
    <t>تاریخچه وسیله نقلیه</t>
  </si>
  <si>
    <t>تاريخ تحويل به ماشین آلات</t>
  </si>
  <si>
    <t>تغییر / تحول</t>
  </si>
  <si>
    <t>تاریخ تغییر/تحول</t>
  </si>
  <si>
    <t>قرائت کیلومتر</t>
  </si>
  <si>
    <t>واحد تحویل دهنده</t>
  </si>
  <si>
    <t>نام تحویل دهنده</t>
  </si>
  <si>
    <t>واحد تحویل گیرنده</t>
  </si>
  <si>
    <t>نام تحویل گیرنده</t>
  </si>
  <si>
    <t>توضیحات</t>
  </si>
  <si>
    <t>سرویس</t>
  </si>
  <si>
    <t>تاریخ سرویس</t>
  </si>
  <si>
    <t>نام مسئول سرویس</t>
  </si>
  <si>
    <t>آیتم های تعویض / سرویس شده</t>
  </si>
  <si>
    <t>تعمیرات</t>
  </si>
  <si>
    <t>تاریخ اعزام به تعمیرگاه</t>
  </si>
  <si>
    <t>کیلومتر اعزام به تعمیرگاه</t>
  </si>
  <si>
    <t>نام مسئول تعمیرات</t>
  </si>
  <si>
    <t>نام/آدرس/تلفن تعمیرگاه</t>
  </si>
  <si>
    <t>نام/تلفن تعمیرکار</t>
  </si>
  <si>
    <t>علت اعزام به تعمیرگاه</t>
  </si>
  <si>
    <t>تاریخ اتمام تعمیرات</t>
  </si>
  <si>
    <t>ردیف</t>
  </si>
  <si>
    <t>شرح عملیات / تعویض / تعمیر / اصلاح</t>
  </si>
  <si>
    <t>هزینه ( ریال)</t>
  </si>
  <si>
    <t>جمع کل هزینه ها</t>
  </si>
  <si>
    <t>تاريخچه</t>
  </si>
  <si>
    <t>روغن هیدرولیک</t>
  </si>
  <si>
    <t>DOT4</t>
  </si>
  <si>
    <t>VG46</t>
  </si>
  <si>
    <t>85W90</t>
  </si>
  <si>
    <t>ق</t>
  </si>
  <si>
    <t>وانت پراید</t>
  </si>
  <si>
    <t>نقره</t>
  </si>
  <si>
    <t>محمدی</t>
  </si>
  <si>
    <t>987456</t>
  </si>
  <si>
    <t>پسماند</t>
  </si>
  <si>
    <t>10W40</t>
  </si>
  <si>
    <t>165/R13/65</t>
  </si>
  <si>
    <t>خودرو22ق333</t>
  </si>
  <si>
    <t>کیلومتر تعویض</t>
  </si>
  <si>
    <t>بیات</t>
  </si>
  <si>
    <t>روغن موتور 
فيلتر روغن 
فيلتر هوا 
روغن ترمز</t>
  </si>
  <si>
    <t>فيلتر روغن 
فيلتر هوا 
روغن ترمز 
لنت ترمز عقب 
تسمه یا زنجیر تایم</t>
  </si>
  <si>
    <t>اوسا حسن 
654 
قلعه حسن خان</t>
  </si>
  <si>
    <t>حسینی</t>
  </si>
  <si>
    <t>124</t>
  </si>
  <si>
    <t>کلاچ</t>
  </si>
  <si>
    <t>باز و بست گیربکس</t>
  </si>
  <si>
    <t>تعویض دیسک و صفحه</t>
  </si>
  <si>
    <t>خرید کیت کلاچ</t>
  </si>
  <si>
    <t>ماشین آلات</t>
  </si>
  <si>
    <t>شیخی</t>
  </si>
  <si>
    <t>09124580</t>
  </si>
  <si>
    <t>گلگیر جلو راننده خوردگی دارد 
درب عقب کمک خط و خش</t>
  </si>
  <si>
    <t>حراست</t>
  </si>
  <si>
    <t>سعیدی</t>
  </si>
  <si>
    <t>گلگیر 
سپر عقب 
چراغ 
آینه</t>
  </si>
  <si>
    <t>روغن موتور 
فيلتر روغن 
فيلتر هوا</t>
  </si>
  <si>
    <t xml:space="preserve"> 
</t>
  </si>
  <si>
    <t>لنت</t>
  </si>
  <si>
    <t>حسنی</t>
  </si>
  <si>
    <t>22</t>
  </si>
  <si>
    <t>گلگیر 
چراغ 
سپر</t>
  </si>
  <si>
    <t>شماره 1</t>
  </si>
  <si>
    <t>شماره 2</t>
  </si>
  <si>
    <t>شماره 3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</si>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</sst>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_-* #,##0.00\-;_-* &quot;-&quot;??_-;_-@_-"/>
    <numFmt numFmtId="165" formatCode="_-* #,##0_-;_-* #,##0\-;_-* &quot;-&quot;??_-;_-@_-"/>
    <numFmt numFmtId="166" formatCode="[$-160429]yyyy/mm/dd;@"/>
    <numFmt numFmtId="167" formatCode="_(* #,##0_);_(* \(#,##0\);_(* &quot;-&quot;??_);_(@_)"/>
    <numFmt numFmtId="168" formatCode="&quot;ريال&quot;#,##0_-"/>
    <numFmt numFmtId="169" formatCode="#,##0_-"/>
  </numFmts>
  <fonts count="12" x14ac:knownFonts="1"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b/>
      <sz val="16"/>
      <color theme="1"/>
      <name val="B Nazanin"/>
      <charset val="178"/>
    </font>
    <font>
      <sz val="11"/>
      <color theme="1"/>
      <name val="B Nazanin"/>
      <charset val="178"/>
    </font>
    <font>
      <b/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sz val="12"/>
      <color theme="1"/>
      <name val="B Nazanin"/>
      <charset val="178"/>
    </font>
    <font>
      <b/>
      <sz val="24"/>
      <color theme="1"/>
      <name val="B Nazanin"/>
      <charset val="178"/>
    </font>
    <font>
      <b/>
      <sz val="16"/>
      <color rgb="FF000000"/>
      <name val="Arial"/>
      <family val="2"/>
    </font>
    <font>
      <b/>
      <sz val="20"/>
      <color theme="1"/>
      <name val="B Nazanin"/>
      <charset val="178"/>
    </font>
    <font>
      <b/>
      <sz val="15"/>
      <color theme="1"/>
      <name val="B Nazanin"/>
      <charset val="178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4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4">
    <xf numFmtId="0" fontId="0" fillId="0" borderId="0" xfId="0"/>
    <xf numFmtId="0" fontId="3" fillId="0" borderId="0" xfId="0" applyFont="1"/>
    <xf numFmtId="0" fontId="5" fillId="3" borderId="2" xfId="0" applyFont="1" applyFill="1" applyBorder="1" applyAlignment="1">
      <alignment horizontal="center" vertical="center" readingOrder="2"/>
    </xf>
    <xf numFmtId="0" fontId="2" fillId="3" borderId="2" xfId="0" applyFont="1" applyFill="1" applyBorder="1" applyAlignment="1">
      <alignment horizontal="center" vertical="center" readingOrder="1"/>
    </xf>
    <xf numFmtId="49" fontId="6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 readingOrder="2"/>
    </xf>
    <xf numFmtId="0" fontId="7" fillId="0" borderId="0" xfId="0" applyFont="1" applyAlignment="1">
      <alignment horizontal="center" vertical="center" readingOrder="2"/>
    </xf>
    <xf numFmtId="0" fontId="7" fillId="0" borderId="0" xfId="0" applyFont="1" applyAlignment="1">
      <alignment horizontal="center" vertical="center" readingOrder="1"/>
    </xf>
    <xf numFmtId="0" fontId="5" fillId="0" borderId="2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65" fontId="6" fillId="0" borderId="2" xfId="1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center" vertical="center" wrapText="1" readingOrder="2"/>
    </xf>
    <xf numFmtId="0" fontId="5" fillId="0" borderId="2" xfId="0" applyFont="1" applyBorder="1" applyAlignment="1">
      <alignment horizontal="center" vertical="center" readingOrder="2"/>
    </xf>
    <xf numFmtId="166" fontId="5" fillId="0" borderId="2" xfId="0" applyNumberFormat="1" applyFont="1" applyBorder="1" applyAlignment="1">
      <alignment horizontal="center" vertical="center" wrapText="1" readingOrder="2"/>
    </xf>
    <xf numFmtId="0" fontId="5" fillId="7" borderId="3" xfId="0" applyFont="1" applyFill="1" applyBorder="1" applyAlignment="1">
      <alignment horizontal="center" vertical="center" wrapText="1" readingOrder="2"/>
    </xf>
    <xf numFmtId="0" fontId="5" fillId="8" borderId="2" xfId="0" applyFont="1" applyFill="1" applyBorder="1" applyAlignment="1">
      <alignment horizontal="center" vertical="center" wrapText="1" readingOrder="2"/>
    </xf>
    <xf numFmtId="0" fontId="5" fillId="9" borderId="2" xfId="0" applyFont="1" applyFill="1" applyBorder="1" applyAlignment="1">
      <alignment horizontal="center" vertical="center" wrapText="1" readingOrder="2"/>
    </xf>
    <xf numFmtId="165" fontId="5" fillId="0" borderId="2" xfId="1" applyNumberFormat="1" applyFont="1" applyBorder="1" applyAlignment="1">
      <alignment horizontal="center" vertical="center" wrapText="1" readingOrder="1"/>
    </xf>
    <xf numFmtId="0" fontId="5" fillId="0" borderId="0" xfId="0" applyFont="1" applyAlignment="1">
      <alignment horizontal="center" vertical="center" wrapText="1" readingOrder="2"/>
    </xf>
    <xf numFmtId="167" fontId="5" fillId="0" borderId="2" xfId="1" applyNumberFormat="1" applyFont="1" applyBorder="1" applyAlignment="1">
      <alignment horizontal="left" vertical="center" wrapText="1" readingOrder="2"/>
    </xf>
    <xf numFmtId="49" fontId="5" fillId="0" borderId="2" xfId="0" applyNumberFormat="1" applyFont="1" applyBorder="1" applyAlignment="1">
      <alignment horizontal="center" vertical="center" wrapText="1" readingOrder="2"/>
    </xf>
    <xf numFmtId="49" fontId="5" fillId="0" borderId="2" xfId="0" applyNumberFormat="1" applyFont="1" applyBorder="1" applyAlignment="1">
      <alignment horizontal="right" vertical="center" wrapText="1" readingOrder="2"/>
    </xf>
    <xf numFmtId="49" fontId="5" fillId="0" borderId="2" xfId="0" applyNumberFormat="1" applyFont="1" applyBorder="1" applyAlignment="1">
      <alignment horizontal="left" vertical="center" wrapText="1" readingOrder="2"/>
    </xf>
    <xf numFmtId="0" fontId="5" fillId="14" borderId="2" xfId="0" applyFont="1" applyFill="1" applyBorder="1" applyAlignment="1">
      <alignment horizontal="center" vertical="center" wrapText="1" readingOrder="2"/>
    </xf>
    <xf numFmtId="49" fontId="5" fillId="0" borderId="0" xfId="0" applyNumberFormat="1" applyFont="1" applyAlignment="1">
      <alignment vertical="center" wrapText="1" readingOrder="2"/>
    </xf>
    <xf numFmtId="0" fontId="6" fillId="0" borderId="0" xfId="0" applyFont="1" applyAlignment="1">
      <alignment horizontal="center" vertical="center"/>
    </xf>
    <xf numFmtId="165" fontId="6" fillId="0" borderId="0" xfId="1" applyNumberFormat="1" applyFont="1" applyBorder="1" applyAlignment="1">
      <alignment horizontal="center" vertical="center"/>
    </xf>
    <xf numFmtId="0" fontId="3" fillId="0" borderId="0" xfId="0" applyFont="1" applyAlignment="1">
      <alignment wrapText="1"/>
    </xf>
    <xf numFmtId="169" fontId="5" fillId="0" borderId="2" xfId="1" applyNumberFormat="1" applyFont="1" applyBorder="1" applyAlignment="1">
      <alignment horizontal="left" vertical="center" wrapText="1" readingOrder="2"/>
    </xf>
    <xf numFmtId="37" fontId="5" fillId="0" borderId="2" xfId="1" applyNumberFormat="1" applyFont="1" applyBorder="1" applyAlignment="1">
      <alignment horizontal="left" vertical="center" wrapText="1" readingOrder="2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readingOrder="2"/>
    </xf>
    <xf numFmtId="0" fontId="5" fillId="0" borderId="4" xfId="0" applyFont="1" applyBorder="1" applyAlignment="1">
      <alignment horizontal="center" vertical="center" readingOrder="2"/>
    </xf>
    <xf numFmtId="0" fontId="5" fillId="0" borderId="5" xfId="0" applyFont="1" applyBorder="1" applyAlignment="1">
      <alignment horizontal="center" vertical="center" readingOrder="2"/>
    </xf>
    <xf numFmtId="0" fontId="5" fillId="0" borderId="2" xfId="0" applyFont="1" applyBorder="1" applyAlignment="1">
      <alignment horizontal="center" vertical="center" wrapText="1" readingOrder="2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 readingOrder="2"/>
    </xf>
    <xf numFmtId="0" fontId="4" fillId="0" borderId="2" xfId="0" applyFont="1" applyBorder="1" applyAlignment="1">
      <alignment horizontal="center" vertical="center" wrapText="1" readingOrder="2"/>
    </xf>
    <xf numFmtId="0" fontId="2" fillId="2" borderId="2" xfId="0" applyFont="1" applyFill="1" applyBorder="1" applyAlignment="1">
      <alignment horizontal="center" vertical="center" readingOrder="2"/>
    </xf>
    <xf numFmtId="0" fontId="4" fillId="0" borderId="2" xfId="0" applyFont="1" applyBorder="1" applyAlignment="1">
      <alignment horizontal="center" vertical="center" readingOrder="2"/>
    </xf>
    <xf numFmtId="0" fontId="2" fillId="4" borderId="1" xfId="0" applyFont="1" applyFill="1" applyBorder="1" applyAlignment="1">
      <alignment horizontal="center" vertical="center" wrapText="1" readingOrder="2"/>
    </xf>
    <xf numFmtId="0" fontId="5" fillId="0" borderId="3" xfId="0" applyFont="1" applyBorder="1" applyAlignment="1">
      <alignment horizontal="center" vertical="center" wrapText="1" readingOrder="2"/>
    </xf>
    <xf numFmtId="0" fontId="5" fillId="0" borderId="5" xfId="0" applyFont="1" applyBorder="1" applyAlignment="1">
      <alignment horizontal="center" vertical="center" wrapText="1" readingOrder="2"/>
    </xf>
    <xf numFmtId="0" fontId="2" fillId="5" borderId="3" xfId="0" applyFont="1" applyFill="1" applyBorder="1" applyAlignment="1">
      <alignment horizontal="center" vertical="center" wrapText="1" readingOrder="2"/>
    </xf>
    <xf numFmtId="0" fontId="2" fillId="5" borderId="4" xfId="0" applyFont="1" applyFill="1" applyBorder="1" applyAlignment="1">
      <alignment horizontal="center" vertical="center" wrapText="1" readingOrder="2"/>
    </xf>
    <xf numFmtId="0" fontId="2" fillId="5" borderId="5" xfId="0" applyFont="1" applyFill="1" applyBorder="1" applyAlignment="1">
      <alignment horizontal="center" vertical="center" wrapText="1" readingOrder="2"/>
    </xf>
    <xf numFmtId="0" fontId="5" fillId="12" borderId="3" xfId="0" applyFont="1" applyFill="1" applyBorder="1" applyAlignment="1">
      <alignment horizontal="center" vertical="center" wrapText="1" readingOrder="2"/>
    </xf>
    <xf numFmtId="0" fontId="5" fillId="12" borderId="4" xfId="0" applyFont="1" applyFill="1" applyBorder="1" applyAlignment="1">
      <alignment horizontal="center" vertical="center" wrapText="1" readingOrder="2"/>
    </xf>
    <xf numFmtId="0" fontId="5" fillId="12" borderId="5" xfId="0" applyFont="1" applyFill="1" applyBorder="1" applyAlignment="1">
      <alignment horizontal="center" vertical="center" wrapText="1" readingOrder="2"/>
    </xf>
    <xf numFmtId="0" fontId="5" fillId="0" borderId="2" xfId="0" applyFont="1" applyBorder="1" applyAlignment="1">
      <alignment horizontal="center" vertical="center" readingOrder="2"/>
    </xf>
    <xf numFmtId="0" fontId="10" fillId="6" borderId="3" xfId="0" applyFont="1" applyFill="1" applyBorder="1" applyAlignment="1">
      <alignment horizontal="center" vertical="center" wrapText="1" readingOrder="2"/>
    </xf>
    <xf numFmtId="0" fontId="10" fillId="6" borderId="4" xfId="0" applyFont="1" applyFill="1" applyBorder="1" applyAlignment="1">
      <alignment horizontal="center" vertical="center" wrapText="1" readingOrder="2"/>
    </xf>
    <xf numFmtId="0" fontId="10" fillId="6" borderId="5" xfId="0" applyFont="1" applyFill="1" applyBorder="1" applyAlignment="1">
      <alignment horizontal="center" vertical="center" wrapText="1" readingOrder="2"/>
    </xf>
    <xf numFmtId="0" fontId="5" fillId="10" borderId="3" xfId="0" applyFont="1" applyFill="1" applyBorder="1" applyAlignment="1">
      <alignment horizontal="center" vertical="center" wrapText="1" readingOrder="2"/>
    </xf>
    <xf numFmtId="0" fontId="5" fillId="10" borderId="5" xfId="0" applyFont="1" applyFill="1" applyBorder="1" applyAlignment="1">
      <alignment horizontal="center" vertical="center" wrapText="1" readingOrder="2"/>
    </xf>
    <xf numFmtId="166" fontId="5" fillId="0" borderId="3" xfId="0" applyNumberFormat="1" applyFont="1" applyBorder="1" applyAlignment="1">
      <alignment horizontal="center" vertical="center" wrapText="1" readingOrder="2"/>
    </xf>
    <xf numFmtId="166" fontId="5" fillId="0" borderId="5" xfId="0" applyNumberFormat="1" applyFont="1" applyBorder="1" applyAlignment="1">
      <alignment horizontal="center" vertical="center" wrapText="1" readingOrder="2"/>
    </xf>
    <xf numFmtId="0" fontId="5" fillId="0" borderId="3" xfId="0" applyFont="1" applyBorder="1" applyAlignment="1">
      <alignment horizontal="right" vertical="center" wrapText="1" readingOrder="2"/>
    </xf>
    <xf numFmtId="0" fontId="5" fillId="0" borderId="5" xfId="0" applyFont="1" applyBorder="1" applyAlignment="1">
      <alignment horizontal="right" vertical="center" wrapText="1" readingOrder="2"/>
    </xf>
    <xf numFmtId="0" fontId="5" fillId="0" borderId="0" xfId="0" applyFont="1" applyAlignment="1">
      <alignment horizontal="center" vertical="center" wrapText="1" readingOrder="2"/>
    </xf>
    <xf numFmtId="0" fontId="10" fillId="11" borderId="3" xfId="0" applyFont="1" applyFill="1" applyBorder="1" applyAlignment="1">
      <alignment horizontal="center" vertical="center" wrapText="1" readingOrder="2"/>
    </xf>
    <xf numFmtId="0" fontId="10" fillId="11" borderId="4" xfId="0" applyFont="1" applyFill="1" applyBorder="1" applyAlignment="1">
      <alignment horizontal="center" vertical="center" wrapText="1" readingOrder="2"/>
    </xf>
    <xf numFmtId="0" fontId="10" fillId="11" borderId="5" xfId="0" applyFont="1" applyFill="1" applyBorder="1" applyAlignment="1">
      <alignment horizontal="center" vertical="center" wrapText="1" readingOrder="2"/>
    </xf>
    <xf numFmtId="49" fontId="5" fillId="0" borderId="6" xfId="0" applyNumberFormat="1" applyFont="1" applyBorder="1" applyAlignment="1">
      <alignment horizontal="center" vertical="center" wrapText="1" readingOrder="2"/>
    </xf>
    <xf numFmtId="168" fontId="5" fillId="0" borderId="6" xfId="1" applyNumberFormat="1" applyFont="1" applyBorder="1" applyAlignment="1">
      <alignment horizontal="center" vertical="center" wrapText="1" readingOrder="2"/>
    </xf>
    <xf numFmtId="168" fontId="5" fillId="0" borderId="2" xfId="1" applyNumberFormat="1" applyFont="1" applyBorder="1" applyAlignment="1">
      <alignment horizontal="center" vertical="center" wrapText="1" readingOrder="2"/>
    </xf>
    <xf numFmtId="49" fontId="5" fillId="0" borderId="2" xfId="0" applyNumberFormat="1" applyFont="1" applyBorder="1" applyAlignment="1">
      <alignment horizontal="right" vertical="center" wrapText="1" readingOrder="2"/>
    </xf>
    <xf numFmtId="0" fontId="5" fillId="9" borderId="2" xfId="0" applyFont="1" applyFill="1" applyBorder="1" applyAlignment="1">
      <alignment horizontal="center" vertical="center" wrapText="1" readingOrder="2"/>
    </xf>
    <xf numFmtId="166" fontId="5" fillId="0" borderId="2" xfId="0" applyNumberFormat="1" applyFont="1" applyBorder="1" applyAlignment="1">
      <alignment horizontal="right" vertical="center" wrapText="1" readingOrder="2"/>
    </xf>
    <xf numFmtId="0" fontId="5" fillId="9" borderId="3" xfId="0" applyFont="1" applyFill="1" applyBorder="1" applyAlignment="1">
      <alignment horizontal="center" vertical="center" wrapText="1" readingOrder="2"/>
    </xf>
    <xf numFmtId="0" fontId="5" fillId="9" borderId="5" xfId="0" applyFont="1" applyFill="1" applyBorder="1" applyAlignment="1">
      <alignment horizontal="center" vertical="center" wrapText="1" readingOrder="2"/>
    </xf>
    <xf numFmtId="166" fontId="5" fillId="0" borderId="2" xfId="0" applyNumberFormat="1" applyFont="1" applyBorder="1" applyAlignment="1">
      <alignment horizontal="center" vertical="center" wrapText="1" readingOrder="2"/>
    </xf>
    <xf numFmtId="0" fontId="5" fillId="14" borderId="3" xfId="0" applyFont="1" applyFill="1" applyBorder="1" applyAlignment="1">
      <alignment horizontal="center" vertical="center" wrapText="1" readingOrder="2"/>
    </xf>
    <xf numFmtId="0" fontId="5" fillId="14" borderId="4" xfId="0" applyFont="1" applyFill="1" applyBorder="1" applyAlignment="1">
      <alignment horizontal="center" vertical="center" wrapText="1" readingOrder="2"/>
    </xf>
    <xf numFmtId="0" fontId="5" fillId="14" borderId="5" xfId="0" applyFont="1" applyFill="1" applyBorder="1" applyAlignment="1">
      <alignment horizontal="center" vertical="center" wrapText="1" readingOrder="2"/>
    </xf>
    <xf numFmtId="0" fontId="5" fillId="0" borderId="4" xfId="0" applyFont="1" applyBorder="1" applyAlignment="1">
      <alignment horizontal="right" vertical="center" wrapText="1" readingOrder="2"/>
    </xf>
    <xf numFmtId="0" fontId="10" fillId="13" borderId="3" xfId="0" applyFont="1" applyFill="1" applyBorder="1" applyAlignment="1">
      <alignment horizontal="center" vertical="center" wrapText="1" readingOrder="2"/>
    </xf>
    <xf numFmtId="0" fontId="10" fillId="13" borderId="4" xfId="0" applyFont="1" applyFill="1" applyBorder="1" applyAlignment="1">
      <alignment horizontal="center" vertical="center" wrapText="1" readingOrder="2"/>
    </xf>
    <xf numFmtId="0" fontId="10" fillId="13" borderId="5" xfId="0" applyFont="1" applyFill="1" applyBorder="1" applyAlignment="1">
      <alignment horizontal="center" vertical="center" wrapText="1" readingOrder="2"/>
    </xf>
    <xf numFmtId="0" fontId="5" fillId="12" borderId="2" xfId="0" applyFont="1" applyFill="1" applyBorder="1" applyAlignment="1">
      <alignment horizontal="center" vertical="center" wrapText="1" readingOrder="2"/>
    </xf>
    <xf numFmtId="0" fontId="11" fillId="15" borderId="7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readingOrder="2"/>
    </xf>
    <xf numFmtId="0" fontId="5" fillId="3" borderId="5" xfId="0" applyFont="1" applyFill="1" applyBorder="1" applyAlignment="1">
      <alignment horizontal="center" vertical="center" readingOrder="2"/>
    </xf>
    <xf numFmtId="0" fontId="2" fillId="3" borderId="3" xfId="0" applyFont="1" applyFill="1" applyBorder="1" applyAlignment="1">
      <alignment horizontal="center" vertical="center" readingOrder="1"/>
    </xf>
    <xf numFmtId="0" fontId="2" fillId="3" borderId="5" xfId="0" applyFont="1" applyFill="1" applyBorder="1" applyAlignment="1">
      <alignment horizontal="center" vertical="center" readingOrder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381000</xdr:rowOff>
        </xdr:from>
        <xdr:to>
          <xdr:col>9</xdr:col>
          <xdr:colOff>419100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fa-I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اجرای سیستم برنامه ریز</a:t>
              </a:r>
            </a:p>
            <a:p>
              <a:pPr algn="ctr" rtl="1">
                <a:defRPr sz="1000"/>
              </a:pPr>
              <a:endParaRPr lang="fa-IR" sz="16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3"/>
  <sheetViews>
    <sheetView rightToLeft="1" tabSelected="1" zoomScaleNormal="100" workbookViewId="0">
      <selection activeCell="G10" sqref="G10"/>
    </sheetView>
  </sheetViews>
  <sheetFormatPr defaultColWidth="9" defaultRowHeight="24" x14ac:dyDescent="0.2"/>
  <cols>
    <col min="1" max="1" width="17.375" style="11" bestFit="1" customWidth="1"/>
    <col min="2" max="2" width="19" style="11" bestFit="1" customWidth="1"/>
    <col min="3" max="3" width="12.375" style="12" customWidth="1"/>
    <col min="4" max="4" width="22.75" style="12" customWidth="1"/>
    <col min="5" max="5" width="19.375" style="11" bestFit="1" customWidth="1"/>
    <col min="6" max="16384" width="9" style="11"/>
  </cols>
  <sheetData>
    <row r="1" spans="1:5" ht="30.75" customHeight="1" x14ac:dyDescent="0.2">
      <c r="A1" s="11" t="s">
        <v>15</v>
      </c>
      <c r="B1" s="11" t="s">
        <v>16</v>
      </c>
      <c r="C1" s="12" t="s">
        <v>17</v>
      </c>
      <c r="D1" s="12" t="s">
        <v>18</v>
      </c>
      <c r="E1" s="11" t="s">
        <v>77</v>
      </c>
    </row>
    <row r="2" spans="1:5" ht="30.75" customHeight="1" x14ac:dyDescent="0.2">
      <c r="A2" s="11" t="s">
        <v>71</v>
      </c>
      <c r="B2" s="11">
        <v>32000</v>
      </c>
      <c r="C2" s="12">
        <v>45620</v>
      </c>
      <c r="D2" s="12">
        <v>44621</v>
      </c>
    </row>
    <row r="3" spans="1:5" ht="30.75" customHeight="1" x14ac:dyDescent="0.2">
      <c r="A3" s="11" t="s">
        <v>72</v>
      </c>
      <c r="B3" s="11">
        <v>67000</v>
      </c>
      <c r="C3" s="12">
        <v>45620</v>
      </c>
      <c r="D3" s="12">
        <v>44387</v>
      </c>
    </row>
    <row r="4" spans="1:5" ht="30.75" customHeight="1" x14ac:dyDescent="0.2">
      <c r="A4" s="11" t="s">
        <v>47</v>
      </c>
      <c r="B4" s="11">
        <v>11000</v>
      </c>
      <c r="C4" s="12">
        <v>44401</v>
      </c>
      <c r="D4" s="12">
        <v>44401</v>
      </c>
    </row>
    <row r="5" spans="1:5" ht="30.75" customHeight="1" x14ac:dyDescent="0.2">
      <c r="A5" s="11" t="s">
        <v>51</v>
      </c>
      <c r="B5" s="11">
        <v>1</v>
      </c>
      <c r="C5" s="12">
        <v>44402</v>
      </c>
    </row>
    <row r="6" spans="1:5" ht="30.75" customHeight="1" x14ac:dyDescent="0.2">
      <c r="A6" s="11" t="s">
        <v>53</v>
      </c>
      <c r="B6" s="11">
        <v>1</v>
      </c>
      <c r="C6" s="12">
        <v>44402</v>
      </c>
    </row>
    <row r="7" spans="1:5" ht="30.75" customHeight="1" x14ac:dyDescent="0.2">
      <c r="A7" s="11" t="s">
        <v>56</v>
      </c>
      <c r="B7" s="11">
        <v>1</v>
      </c>
      <c r="C7" s="12">
        <v>44402</v>
      </c>
    </row>
    <row r="8" spans="1:5" ht="30.75" customHeight="1" x14ac:dyDescent="0.2">
      <c r="A8" s="11" t="s">
        <v>58</v>
      </c>
      <c r="B8" s="11">
        <v>1</v>
      </c>
      <c r="C8" s="12">
        <v>44402</v>
      </c>
    </row>
    <row r="9" spans="1:5" ht="30.75" customHeight="1" x14ac:dyDescent="0.2">
      <c r="A9" s="11" t="s">
        <v>60</v>
      </c>
      <c r="B9" s="11">
        <v>1</v>
      </c>
      <c r="C9" s="12">
        <v>44402</v>
      </c>
    </row>
    <row r="10" spans="1:5" ht="30.75" customHeight="1" x14ac:dyDescent="0.2">
      <c r="A10" s="11" t="s">
        <v>73</v>
      </c>
      <c r="B10" s="11">
        <v>1</v>
      </c>
      <c r="D10" s="12">
        <v>44402</v>
      </c>
    </row>
    <row r="11" spans="1:5" ht="30.75" customHeight="1" x14ac:dyDescent="0.2">
      <c r="A11" s="11" t="s">
        <v>74</v>
      </c>
      <c r="B11" s="11">
        <v>94000</v>
      </c>
      <c r="C11" s="12">
        <v>45618</v>
      </c>
      <c r="D11" s="12">
        <v>44380</v>
      </c>
    </row>
    <row r="12" spans="1:5" ht="30.75" customHeight="1" x14ac:dyDescent="0.2">
      <c r="A12" s="11" t="s">
        <v>75</v>
      </c>
      <c r="B12" s="11">
        <v>12000</v>
      </c>
      <c r="D12" s="12">
        <v>44402</v>
      </c>
    </row>
    <row r="13" spans="1:5" x14ac:dyDescent="0.2">
      <c r="A13" s="11" t="s">
        <v>117</v>
      </c>
      <c r="B13" s="11">
        <v>120000</v>
      </c>
      <c r="C13" s="12">
        <v>45620</v>
      </c>
      <c r="D13" s="12">
        <v>45616</v>
      </c>
      <c r="E13" s="11">
        <v>96000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161925</xdr:colOff>
                    <xdr:row>0</xdr:row>
                    <xdr:rowOff>381000</xdr:rowOff>
                  </from>
                  <to>
                    <xdr:col>9</xdr:col>
                    <xdr:colOff>419100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1"/>
  <sheetViews>
    <sheetView rightToLeft="1" showWhiteSpace="0" view="pageLayout" topLeftCell="A10" zoomScaleNormal="100" workbookViewId="0">
      <selection activeCell="E12" sqref="E12"/>
    </sheetView>
  </sheetViews>
  <sheetFormatPr defaultColWidth="9" defaultRowHeight="18" x14ac:dyDescent="0.45"/>
  <cols>
    <col min="1" max="1" width="9.375" style="1" bestFit="1" customWidth="1"/>
    <col min="2" max="2" width="9.875" style="1" customWidth="1"/>
    <col min="3" max="4" width="9.375" style="1" customWidth="1"/>
    <col min="5" max="5" width="10" style="1" customWidth="1"/>
    <col min="6" max="6" width="10.25" style="1" customWidth="1"/>
    <col min="7" max="7" width="9.375" style="1" customWidth="1"/>
    <col min="8" max="8" width="10.75" style="1" customWidth="1"/>
    <col min="9" max="9" width="11" style="1" customWidth="1"/>
    <col min="10" max="10" width="5.375" style="1" customWidth="1"/>
    <col min="11" max="16384" width="9" style="1"/>
  </cols>
  <sheetData>
    <row r="1" spans="1:14" ht="12" customHeight="1" x14ac:dyDescent="0.45"/>
    <row r="2" spans="1:14" ht="26.25" x14ac:dyDescent="0.45">
      <c r="A2" s="45" t="s">
        <v>19</v>
      </c>
      <c r="B2" s="45"/>
      <c r="C2" s="45"/>
      <c r="D2" s="45"/>
      <c r="E2" s="45"/>
      <c r="F2" s="45"/>
      <c r="G2" s="45"/>
      <c r="H2" s="45"/>
      <c r="I2" s="45"/>
    </row>
    <row r="3" spans="1:14" ht="39" customHeight="1" x14ac:dyDescent="0.45">
      <c r="A3" s="46" t="s">
        <v>20</v>
      </c>
      <c r="B3" s="46"/>
      <c r="C3" s="47" t="s">
        <v>15</v>
      </c>
      <c r="D3" s="47"/>
      <c r="E3" s="47"/>
      <c r="F3" s="47"/>
      <c r="G3" s="47"/>
      <c r="H3" s="13" t="s">
        <v>0</v>
      </c>
      <c r="I3" s="13" t="s">
        <v>1</v>
      </c>
    </row>
    <row r="4" spans="1:14" ht="26.25" x14ac:dyDescent="0.45">
      <c r="A4" s="48"/>
      <c r="B4" s="48"/>
      <c r="C4" s="2"/>
      <c r="D4" s="2"/>
      <c r="E4" s="3"/>
      <c r="F4" s="2" t="s">
        <v>21</v>
      </c>
      <c r="G4" s="3"/>
      <c r="H4" s="4" t="s">
        <v>130</v>
      </c>
      <c r="I4" s="4" t="s">
        <v>131</v>
      </c>
    </row>
    <row r="5" spans="1:14" ht="25.5" customHeight="1" x14ac:dyDescent="0.45">
      <c r="A5" s="14" t="s">
        <v>2</v>
      </c>
      <c r="B5" s="35"/>
      <c r="C5" s="36"/>
      <c r="D5" s="36"/>
      <c r="E5" s="37"/>
      <c r="F5" s="14" t="s">
        <v>22</v>
      </c>
      <c r="G5" s="35"/>
      <c r="H5" s="36"/>
      <c r="I5" s="37"/>
    </row>
    <row r="6" spans="1:14" ht="38.25" customHeight="1" x14ac:dyDescent="0.45">
      <c r="A6" s="38" t="s">
        <v>3</v>
      </c>
      <c r="B6" s="38"/>
      <c r="C6" s="14"/>
      <c r="D6" s="13" t="s">
        <v>4</v>
      </c>
      <c r="E6" s="13"/>
      <c r="F6" s="13" t="s">
        <v>23</v>
      </c>
      <c r="G6" s="13" t="s">
        <v>129</v>
      </c>
      <c r="H6" s="13" t="s">
        <v>18</v>
      </c>
      <c r="I6" s="15"/>
    </row>
    <row r="7" spans="1:14" ht="38.25" customHeight="1" x14ac:dyDescent="0.45">
      <c r="A7" s="50" t="s">
        <v>6</v>
      </c>
      <c r="B7" s="51"/>
      <c r="C7" s="50" t="s">
        <v>12</v>
      </c>
      <c r="D7" s="51"/>
      <c r="E7" s="14" t="s">
        <v>8</v>
      </c>
      <c r="F7" s="13" t="s">
        <v>105</v>
      </c>
      <c r="G7" s="13" t="s">
        <v>14</v>
      </c>
      <c r="H7" s="50" t="s">
        <v>13</v>
      </c>
      <c r="I7" s="51"/>
    </row>
    <row r="8" spans="1:14" ht="38.25" customHeight="1" x14ac:dyDescent="0.45">
      <c r="A8" s="50"/>
      <c r="B8" s="51"/>
      <c r="C8" s="35"/>
      <c r="D8" s="37"/>
      <c r="E8" s="13"/>
      <c r="F8" s="13"/>
      <c r="G8" s="13"/>
      <c r="H8" s="50"/>
      <c r="I8" s="51"/>
    </row>
    <row r="9" spans="1:14" ht="23.25" customHeight="1" x14ac:dyDescent="0.45">
      <c r="B9" s="5"/>
      <c r="C9" s="5"/>
      <c r="D9" s="6"/>
      <c r="E9" s="6"/>
      <c r="F9" s="6"/>
      <c r="G9" s="6"/>
      <c r="H9" s="7"/>
      <c r="I9" s="7"/>
      <c r="J9" s="7"/>
      <c r="K9" s="5"/>
      <c r="L9" s="5"/>
      <c r="M9" s="5"/>
      <c r="N9" s="5"/>
    </row>
    <row r="10" spans="1:14" ht="42" customHeight="1" x14ac:dyDescent="0.45">
      <c r="B10" s="39" t="s">
        <v>24</v>
      </c>
      <c r="C10" s="40"/>
      <c r="D10" s="41"/>
      <c r="E10" s="42"/>
      <c r="F10" s="42"/>
      <c r="G10" s="42"/>
      <c r="H10" s="42"/>
    </row>
    <row r="11" spans="1:14" ht="58.5" customHeight="1" x14ac:dyDescent="0.45">
      <c r="B11" s="43" t="s">
        <v>25</v>
      </c>
      <c r="C11" s="44"/>
      <c r="D11" s="8" t="s">
        <v>5</v>
      </c>
      <c r="E11" s="8" t="s">
        <v>26</v>
      </c>
      <c r="F11" s="8" t="s">
        <v>27</v>
      </c>
      <c r="G11" s="8" t="s">
        <v>28</v>
      </c>
      <c r="H11" s="8" t="s">
        <v>48</v>
      </c>
    </row>
    <row r="12" spans="1:14" s="9" customFormat="1" ht="25.5" customHeight="1" x14ac:dyDescent="0.2">
      <c r="B12" s="33" t="s">
        <v>6</v>
      </c>
      <c r="C12" s="34"/>
      <c r="D12" s="10">
        <v>6000</v>
      </c>
      <c r="E12" s="10">
        <v>1000</v>
      </c>
      <c r="F12" s="10">
        <f>E10</f>
        <v>0</v>
      </c>
      <c r="G12" s="10">
        <f>F12-E12</f>
        <v>-1000</v>
      </c>
      <c r="H12" s="10">
        <f>D12-G12</f>
        <v>7000</v>
      </c>
    </row>
    <row r="13" spans="1:14" s="9" customFormat="1" ht="25.5" customHeight="1" x14ac:dyDescent="0.2">
      <c r="B13" s="33" t="s">
        <v>30</v>
      </c>
      <c r="C13" s="34"/>
      <c r="D13" s="10">
        <v>11000</v>
      </c>
      <c r="E13" s="10">
        <v>1000</v>
      </c>
      <c r="F13" s="10">
        <f>E10</f>
        <v>0</v>
      </c>
      <c r="G13" s="10">
        <f t="shared" ref="G13:G27" si="0">F13-E13</f>
        <v>-1000</v>
      </c>
      <c r="H13" s="10">
        <f t="shared" ref="H13:H27" si="1">D13-G13</f>
        <v>12000</v>
      </c>
    </row>
    <row r="14" spans="1:14" s="9" customFormat="1" ht="25.5" customHeight="1" x14ac:dyDescent="0.2">
      <c r="B14" s="33" t="s">
        <v>31</v>
      </c>
      <c r="C14" s="34"/>
      <c r="D14" s="10">
        <v>6000</v>
      </c>
      <c r="E14" s="10">
        <v>1000</v>
      </c>
      <c r="F14" s="10">
        <f>E10</f>
        <v>0</v>
      </c>
      <c r="G14" s="10">
        <f t="shared" si="0"/>
        <v>-1000</v>
      </c>
      <c r="H14" s="10">
        <f t="shared" si="1"/>
        <v>7000</v>
      </c>
    </row>
    <row r="15" spans="1:14" s="9" customFormat="1" ht="25.5" customHeight="1" x14ac:dyDescent="0.2">
      <c r="B15" s="33" t="s">
        <v>32</v>
      </c>
      <c r="C15" s="34"/>
      <c r="D15" s="10">
        <v>30000</v>
      </c>
      <c r="E15" s="10">
        <v>1000</v>
      </c>
      <c r="F15" s="10">
        <f>E10</f>
        <v>0</v>
      </c>
      <c r="G15" s="10">
        <f t="shared" si="0"/>
        <v>-1000</v>
      </c>
      <c r="H15" s="10">
        <f t="shared" si="1"/>
        <v>31000</v>
      </c>
    </row>
    <row r="16" spans="1:14" s="9" customFormat="1" ht="25.5" customHeight="1" x14ac:dyDescent="0.2">
      <c r="B16" s="33" t="s">
        <v>7</v>
      </c>
      <c r="C16" s="34"/>
      <c r="D16" s="10">
        <v>60000</v>
      </c>
      <c r="E16" s="10">
        <v>1000</v>
      </c>
      <c r="F16" s="10">
        <f>E10</f>
        <v>0</v>
      </c>
      <c r="G16" s="10">
        <f t="shared" si="0"/>
        <v>-1000</v>
      </c>
      <c r="H16" s="10">
        <f t="shared" si="1"/>
        <v>61000</v>
      </c>
    </row>
    <row r="17" spans="1:9" s="9" customFormat="1" ht="25.5" customHeight="1" x14ac:dyDescent="0.2">
      <c r="B17" s="33" t="s">
        <v>8</v>
      </c>
      <c r="C17" s="34"/>
      <c r="D17" s="10">
        <v>40000</v>
      </c>
      <c r="E17" s="10">
        <v>1000</v>
      </c>
      <c r="F17" s="10">
        <f>E10</f>
        <v>0</v>
      </c>
      <c r="G17" s="10">
        <f t="shared" si="0"/>
        <v>-1000</v>
      </c>
      <c r="H17" s="10">
        <f t="shared" si="1"/>
        <v>41000</v>
      </c>
    </row>
    <row r="18" spans="1:9" s="9" customFormat="1" ht="25.5" customHeight="1" x14ac:dyDescent="0.2">
      <c r="B18" s="33" t="s">
        <v>33</v>
      </c>
      <c r="C18" s="34"/>
      <c r="D18" s="10">
        <v>45000</v>
      </c>
      <c r="E18" s="10">
        <v>1000</v>
      </c>
      <c r="F18" s="10">
        <f>E10</f>
        <v>0</v>
      </c>
      <c r="G18" s="10">
        <f t="shared" si="0"/>
        <v>-1000</v>
      </c>
      <c r="H18" s="10">
        <f t="shared" si="1"/>
        <v>46000</v>
      </c>
    </row>
    <row r="19" spans="1:9" s="9" customFormat="1" ht="25.5" customHeight="1" x14ac:dyDescent="0.2">
      <c r="B19" s="32" t="s">
        <v>39</v>
      </c>
      <c r="C19" s="32"/>
      <c r="D19" s="10">
        <v>75000</v>
      </c>
      <c r="E19" s="10">
        <v>1000</v>
      </c>
      <c r="F19" s="10">
        <f>E10</f>
        <v>0</v>
      </c>
      <c r="G19" s="10">
        <f t="shared" si="0"/>
        <v>-1000</v>
      </c>
      <c r="H19" s="10">
        <f t="shared" si="1"/>
        <v>76000</v>
      </c>
    </row>
    <row r="20" spans="1:9" s="9" customFormat="1" ht="25.5" customHeight="1" x14ac:dyDescent="0.2">
      <c r="B20" s="32" t="s">
        <v>34</v>
      </c>
      <c r="C20" s="32"/>
      <c r="D20" s="10">
        <v>75000</v>
      </c>
      <c r="E20" s="10">
        <v>1000</v>
      </c>
      <c r="F20" s="10">
        <f>E10</f>
        <v>0</v>
      </c>
      <c r="G20" s="10">
        <f t="shared" si="0"/>
        <v>-1000</v>
      </c>
      <c r="H20" s="10">
        <f t="shared" si="1"/>
        <v>76000</v>
      </c>
    </row>
    <row r="21" spans="1:9" s="9" customFormat="1" ht="25.5" customHeight="1" x14ac:dyDescent="0.2">
      <c r="B21" s="32" t="s">
        <v>35</v>
      </c>
      <c r="C21" s="32"/>
      <c r="D21" s="10">
        <v>75000</v>
      </c>
      <c r="E21" s="10">
        <v>1000</v>
      </c>
      <c r="F21" s="10">
        <f>E10</f>
        <v>0</v>
      </c>
      <c r="G21" s="10">
        <f t="shared" si="0"/>
        <v>-1000</v>
      </c>
      <c r="H21" s="10">
        <f t="shared" si="1"/>
        <v>76000</v>
      </c>
    </row>
    <row r="22" spans="1:9" s="9" customFormat="1" ht="25.5" customHeight="1" x14ac:dyDescent="0.2">
      <c r="B22" s="32" t="s">
        <v>9</v>
      </c>
      <c r="C22" s="32"/>
      <c r="D22" s="10">
        <v>25000</v>
      </c>
      <c r="E22" s="10">
        <v>1000</v>
      </c>
      <c r="F22" s="10">
        <f>E10</f>
        <v>0</v>
      </c>
      <c r="G22" s="10">
        <f t="shared" si="0"/>
        <v>-1000</v>
      </c>
      <c r="H22" s="10">
        <f t="shared" si="1"/>
        <v>26000</v>
      </c>
    </row>
    <row r="23" spans="1:9" s="9" customFormat="1" ht="25.5" customHeight="1" x14ac:dyDescent="0.2">
      <c r="B23" s="33" t="s">
        <v>10</v>
      </c>
      <c r="C23" s="34"/>
      <c r="D23" s="10">
        <v>80000</v>
      </c>
      <c r="E23" s="10">
        <v>1000</v>
      </c>
      <c r="F23" s="10">
        <f>E10</f>
        <v>0</v>
      </c>
      <c r="G23" s="10">
        <f t="shared" si="0"/>
        <v>-1000</v>
      </c>
      <c r="H23" s="10">
        <f t="shared" si="1"/>
        <v>81000</v>
      </c>
    </row>
    <row r="24" spans="1:9" s="9" customFormat="1" ht="25.5" customHeight="1" x14ac:dyDescent="0.2">
      <c r="B24" s="32" t="s">
        <v>11</v>
      </c>
      <c r="C24" s="32"/>
      <c r="D24" s="10">
        <v>60000</v>
      </c>
      <c r="E24" s="10">
        <v>1000</v>
      </c>
      <c r="F24" s="10">
        <f>E10</f>
        <v>0</v>
      </c>
      <c r="G24" s="10">
        <f t="shared" si="0"/>
        <v>-1000</v>
      </c>
      <c r="H24" s="10">
        <f t="shared" si="1"/>
        <v>61000</v>
      </c>
    </row>
    <row r="25" spans="1:9" s="9" customFormat="1" ht="25.5" customHeight="1" x14ac:dyDescent="0.2">
      <c r="B25" s="32" t="s">
        <v>12</v>
      </c>
      <c r="C25" s="32"/>
      <c r="D25" s="10">
        <v>90000</v>
      </c>
      <c r="E25" s="10">
        <v>1000</v>
      </c>
      <c r="F25" s="10">
        <f>E10</f>
        <v>0</v>
      </c>
      <c r="G25" s="10">
        <f t="shared" si="0"/>
        <v>-1000</v>
      </c>
      <c r="H25" s="10">
        <f t="shared" si="1"/>
        <v>91000</v>
      </c>
    </row>
    <row r="26" spans="1:9" s="9" customFormat="1" ht="25.5" customHeight="1" x14ac:dyDescent="0.2">
      <c r="B26" s="32" t="s">
        <v>13</v>
      </c>
      <c r="C26" s="32"/>
      <c r="D26" s="10">
        <v>80000</v>
      </c>
      <c r="E26" s="10">
        <v>1000</v>
      </c>
      <c r="F26" s="10">
        <f>E10</f>
        <v>0</v>
      </c>
      <c r="G26" s="10">
        <f t="shared" si="0"/>
        <v>-1000</v>
      </c>
      <c r="H26" s="10">
        <f t="shared" si="1"/>
        <v>81000</v>
      </c>
    </row>
    <row r="27" spans="1:9" ht="25.5" customHeight="1" x14ac:dyDescent="0.45">
      <c r="B27" s="32" t="s">
        <v>14</v>
      </c>
      <c r="C27" s="32"/>
      <c r="D27" s="10">
        <v>60000</v>
      </c>
      <c r="E27" s="10">
        <v>1000</v>
      </c>
      <c r="F27" s="10">
        <f>E10</f>
        <v>0</v>
      </c>
      <c r="G27" s="10">
        <f t="shared" si="0"/>
        <v>-1000</v>
      </c>
      <c r="H27" s="10">
        <f t="shared" si="1"/>
        <v>61000</v>
      </c>
    </row>
    <row r="28" spans="1:9" ht="33" customHeight="1" x14ac:dyDescent="0.45"/>
    <row r="29" spans="1:9" ht="26.25" x14ac:dyDescent="0.45">
      <c r="A29" s="49" t="s">
        <v>19</v>
      </c>
      <c r="B29" s="49"/>
      <c r="C29" s="49"/>
      <c r="D29" s="49"/>
      <c r="E29" s="49"/>
      <c r="F29" s="49"/>
      <c r="G29" s="49"/>
      <c r="H29" s="49"/>
      <c r="I29" s="49"/>
    </row>
    <row r="30" spans="1:9" ht="26.25" x14ac:dyDescent="0.45">
      <c r="A30" s="52" t="s">
        <v>78</v>
      </c>
      <c r="B30" s="53"/>
      <c r="C30" s="53"/>
      <c r="D30" s="53"/>
      <c r="E30" s="53"/>
      <c r="F30" s="53"/>
      <c r="G30" s="53"/>
      <c r="H30" s="53"/>
      <c r="I30" s="54"/>
    </row>
    <row r="31" spans="1:9" ht="26.25" x14ac:dyDescent="0.45">
      <c r="A31" s="46" t="s">
        <v>20</v>
      </c>
      <c r="B31" s="46"/>
      <c r="C31" s="47" t="s">
        <v>15</v>
      </c>
      <c r="D31" s="47"/>
      <c r="E31" s="47"/>
      <c r="F31" s="47"/>
      <c r="G31" s="47"/>
      <c r="H31" s="13" t="s">
        <v>0</v>
      </c>
      <c r="I31" s="13" t="s">
        <v>1</v>
      </c>
    </row>
    <row r="32" spans="1:9" ht="26.25" x14ac:dyDescent="0.45">
      <c r="A32" s="48"/>
      <c r="B32" s="48"/>
      <c r="C32" s="2" t="s">
        <v>21</v>
      </c>
      <c r="D32" s="2"/>
      <c r="E32" s="3"/>
      <c r="F32" s="3"/>
      <c r="G32" s="3"/>
      <c r="H32" s="4"/>
      <c r="I32" s="4"/>
    </row>
    <row r="33" spans="1:9" ht="21" x14ac:dyDescent="0.45">
      <c r="A33" s="14" t="s">
        <v>2</v>
      </c>
      <c r="B33" s="58"/>
      <c r="C33" s="58"/>
      <c r="D33" s="58"/>
      <c r="E33" s="58"/>
      <c r="F33" s="14" t="s">
        <v>22</v>
      </c>
      <c r="G33" s="58"/>
      <c r="H33" s="58"/>
      <c r="I33" s="58"/>
    </row>
    <row r="34" spans="1:9" ht="63" x14ac:dyDescent="0.45">
      <c r="A34" s="38" t="s">
        <v>3</v>
      </c>
      <c r="B34" s="38"/>
      <c r="C34" s="14"/>
      <c r="D34" s="13" t="s">
        <v>4</v>
      </c>
      <c r="E34" s="13"/>
      <c r="F34" s="13" t="s">
        <v>23</v>
      </c>
      <c r="G34" s="13"/>
      <c r="H34" s="13" t="s">
        <v>79</v>
      </c>
      <c r="I34" s="15"/>
    </row>
    <row r="35" spans="1:9" x14ac:dyDescent="0.45">
      <c r="A35"/>
      <c r="B35"/>
      <c r="C35"/>
      <c r="D35"/>
      <c r="E35"/>
      <c r="F35"/>
      <c r="G35"/>
      <c r="H35"/>
      <c r="I35"/>
    </row>
    <row r="36" spans="1:9" ht="33.75" x14ac:dyDescent="0.45">
      <c r="A36" s="59" t="s">
        <v>80</v>
      </c>
      <c r="B36" s="60"/>
      <c r="C36" s="60"/>
      <c r="D36" s="60"/>
      <c r="E36" s="60"/>
      <c r="F36" s="60"/>
      <c r="G36" s="60"/>
      <c r="H36" s="60"/>
      <c r="I36" s="61"/>
    </row>
    <row r="37" spans="1:9" ht="63" x14ac:dyDescent="0.45">
      <c r="A37" s="50" t="s">
        <v>81</v>
      </c>
      <c r="B37" s="51"/>
      <c r="C37" s="16" t="s">
        <v>82</v>
      </c>
      <c r="D37" s="17" t="s">
        <v>83</v>
      </c>
      <c r="E37" s="17" t="s">
        <v>84</v>
      </c>
      <c r="F37" s="18" t="s">
        <v>85</v>
      </c>
      <c r="G37" s="18" t="s">
        <v>86</v>
      </c>
      <c r="H37" s="62" t="s">
        <v>87</v>
      </c>
      <c r="I37" s="63"/>
    </row>
    <row r="38" spans="1:9" ht="21" x14ac:dyDescent="0.45">
      <c r="A38" s="64"/>
      <c r="B38" s="65"/>
      <c r="C38" s="19">
        <v>500000</v>
      </c>
      <c r="D38" s="13"/>
      <c r="E38" s="13"/>
      <c r="F38" s="13"/>
      <c r="G38" s="13"/>
      <c r="H38" s="66"/>
      <c r="I38" s="67"/>
    </row>
    <row r="39" spans="1:9" ht="21" x14ac:dyDescent="0.45">
      <c r="A39" s="68"/>
      <c r="B39" s="68"/>
      <c r="C39" s="20"/>
      <c r="D39" s="20"/>
      <c r="E39" s="20"/>
      <c r="F39" s="20"/>
      <c r="G39" s="20"/>
      <c r="H39" s="20"/>
      <c r="I39" s="20"/>
    </row>
    <row r="40" spans="1:9" ht="33.75" x14ac:dyDescent="0.45">
      <c r="A40" s="69" t="s">
        <v>88</v>
      </c>
      <c r="B40" s="70"/>
      <c r="C40" s="70"/>
      <c r="D40" s="70"/>
      <c r="E40" s="70"/>
      <c r="F40" s="70"/>
      <c r="G40" s="70"/>
      <c r="H40" s="70"/>
      <c r="I40" s="71"/>
    </row>
    <row r="41" spans="1:9" ht="42" x14ac:dyDescent="0.45">
      <c r="A41" s="50" t="s">
        <v>89</v>
      </c>
      <c r="B41" s="51"/>
      <c r="C41" s="16" t="s">
        <v>118</v>
      </c>
      <c r="D41" s="17" t="s">
        <v>90</v>
      </c>
      <c r="E41" s="55" t="s">
        <v>91</v>
      </c>
      <c r="F41" s="56"/>
      <c r="G41" s="56"/>
      <c r="H41" s="56"/>
      <c r="I41" s="57"/>
    </row>
    <row r="42" spans="1:9" ht="21" x14ac:dyDescent="0.45">
      <c r="A42" s="64"/>
      <c r="B42" s="65"/>
      <c r="C42" s="19"/>
      <c r="D42" s="13"/>
      <c r="E42" s="66"/>
      <c r="F42" s="84"/>
      <c r="G42" s="84"/>
      <c r="H42" s="84"/>
      <c r="I42" s="67"/>
    </row>
    <row r="43" spans="1:9" ht="21" x14ac:dyDescent="0.45">
      <c r="A43" s="68"/>
      <c r="B43" s="68"/>
      <c r="C43" s="20"/>
      <c r="D43" s="20"/>
      <c r="E43" s="20"/>
      <c r="F43" s="20"/>
      <c r="G43" s="20"/>
      <c r="H43" s="20"/>
      <c r="I43" s="20"/>
    </row>
    <row r="44" spans="1:9" ht="33.75" x14ac:dyDescent="0.45">
      <c r="A44" s="85" t="s">
        <v>92</v>
      </c>
      <c r="B44" s="86"/>
      <c r="C44" s="86"/>
      <c r="D44" s="86"/>
      <c r="E44" s="86"/>
      <c r="F44" s="86"/>
      <c r="G44" s="86"/>
      <c r="H44" s="86"/>
      <c r="I44" s="87"/>
    </row>
    <row r="45" spans="1:9" ht="63" x14ac:dyDescent="0.45">
      <c r="A45" s="50" t="s">
        <v>93</v>
      </c>
      <c r="B45" s="51"/>
      <c r="C45" s="16" t="s">
        <v>94</v>
      </c>
      <c r="D45" s="17" t="s">
        <v>95</v>
      </c>
      <c r="E45" s="88" t="s">
        <v>96</v>
      </c>
      <c r="F45" s="88"/>
      <c r="G45" s="88"/>
      <c r="H45" s="88" t="s">
        <v>97</v>
      </c>
      <c r="I45" s="88"/>
    </row>
    <row r="46" spans="1:9" ht="21" x14ac:dyDescent="0.45">
      <c r="A46" s="64"/>
      <c r="B46" s="65"/>
      <c r="C46" s="21"/>
      <c r="D46" s="22"/>
      <c r="E46" s="75"/>
      <c r="F46" s="75"/>
      <c r="G46" s="75"/>
      <c r="H46" s="23"/>
      <c r="I46" s="24"/>
    </row>
    <row r="47" spans="1:9" ht="21" x14ac:dyDescent="0.45">
      <c r="A47" s="76" t="s">
        <v>98</v>
      </c>
      <c r="B47" s="76"/>
      <c r="C47" s="77"/>
      <c r="D47" s="77"/>
      <c r="E47" s="77"/>
      <c r="F47" s="77"/>
      <c r="G47" s="77"/>
      <c r="H47" s="77"/>
      <c r="I47" s="77"/>
    </row>
    <row r="48" spans="1:9" ht="21" x14ac:dyDescent="0.45">
      <c r="A48" s="78" t="s">
        <v>99</v>
      </c>
      <c r="B48" s="79"/>
      <c r="C48" s="80"/>
      <c r="D48" s="80"/>
      <c r="E48" s="80"/>
      <c r="F48" s="80"/>
      <c r="G48" s="80"/>
      <c r="H48" s="80"/>
      <c r="I48" s="80"/>
    </row>
    <row r="49" spans="1:9" ht="21" x14ac:dyDescent="0.45">
      <c r="A49" s="81" t="s">
        <v>100</v>
      </c>
      <c r="B49" s="82"/>
      <c r="C49" s="81" t="s">
        <v>101</v>
      </c>
      <c r="D49" s="82"/>
      <c r="E49" s="82"/>
      <c r="F49" s="82"/>
      <c r="G49" s="82"/>
      <c r="H49" s="83"/>
      <c r="I49" s="25" t="s">
        <v>102</v>
      </c>
    </row>
    <row r="50" spans="1:9" ht="21" x14ac:dyDescent="0.45">
      <c r="A50" s="50"/>
      <c r="B50" s="51"/>
      <c r="C50" s="75"/>
      <c r="D50" s="75"/>
      <c r="E50" s="75"/>
      <c r="F50" s="75"/>
      <c r="G50" s="75"/>
      <c r="H50" s="75"/>
      <c r="I50" s="31"/>
    </row>
    <row r="51" spans="1:9" ht="21" x14ac:dyDescent="0.45">
      <c r="A51" s="68"/>
      <c r="B51" s="68"/>
      <c r="C51"/>
      <c r="D51" s="26"/>
      <c r="E51" s="72" t="s">
        <v>103</v>
      </c>
      <c r="F51" s="72"/>
      <c r="G51" s="73"/>
      <c r="H51" s="73"/>
      <c r="I51" s="74"/>
    </row>
  </sheetData>
  <mergeCells count="69">
    <mergeCell ref="A42:B42"/>
    <mergeCell ref="E42:I42"/>
    <mergeCell ref="A43:B43"/>
    <mergeCell ref="A44:I44"/>
    <mergeCell ref="A45:B45"/>
    <mergeCell ref="E45:G45"/>
    <mergeCell ref="H45:I45"/>
    <mergeCell ref="A51:B51"/>
    <mergeCell ref="E51:F51"/>
    <mergeCell ref="G51:I51"/>
    <mergeCell ref="A46:B46"/>
    <mergeCell ref="E46:G46"/>
    <mergeCell ref="A47:B47"/>
    <mergeCell ref="C47:I47"/>
    <mergeCell ref="A48:B48"/>
    <mergeCell ref="C48:I48"/>
    <mergeCell ref="A49:B49"/>
    <mergeCell ref="C49:H49"/>
    <mergeCell ref="A50:B50"/>
    <mergeCell ref="C50:H50"/>
    <mergeCell ref="A30:I30"/>
    <mergeCell ref="A31:B31"/>
    <mergeCell ref="C31:G31"/>
    <mergeCell ref="A32:B32"/>
    <mergeCell ref="A41:B41"/>
    <mergeCell ref="E41:I41"/>
    <mergeCell ref="B33:E33"/>
    <mergeCell ref="G33:I33"/>
    <mergeCell ref="A34:B34"/>
    <mergeCell ref="A36:I36"/>
    <mergeCell ref="A37:B37"/>
    <mergeCell ref="H37:I37"/>
    <mergeCell ref="A38:B38"/>
    <mergeCell ref="H38:I38"/>
    <mergeCell ref="A39:B39"/>
    <mergeCell ref="A40:I40"/>
    <mergeCell ref="A2:I2"/>
    <mergeCell ref="A3:B3"/>
    <mergeCell ref="C3:G3"/>
    <mergeCell ref="A4:B4"/>
    <mergeCell ref="A29:I29"/>
    <mergeCell ref="H8:I8"/>
    <mergeCell ref="B17:C17"/>
    <mergeCell ref="H7:I7"/>
    <mergeCell ref="A7:B7"/>
    <mergeCell ref="C7:D7"/>
    <mergeCell ref="A8:B8"/>
    <mergeCell ref="C8:D8"/>
    <mergeCell ref="B12:C12"/>
    <mergeCell ref="B13:C13"/>
    <mergeCell ref="B14:C14"/>
    <mergeCell ref="B15:C15"/>
    <mergeCell ref="B16:C16"/>
    <mergeCell ref="G5:I5"/>
    <mergeCell ref="B5:E5"/>
    <mergeCell ref="B25:C25"/>
    <mergeCell ref="B26:C26"/>
    <mergeCell ref="B18:C18"/>
    <mergeCell ref="A6:B6"/>
    <mergeCell ref="B10:D10"/>
    <mergeCell ref="E10:H10"/>
    <mergeCell ref="B11:C11"/>
    <mergeCell ref="B27:C27"/>
    <mergeCell ref="B19:C19"/>
    <mergeCell ref="B20:C20"/>
    <mergeCell ref="B21:C21"/>
    <mergeCell ref="B22:C22"/>
    <mergeCell ref="B23:C23"/>
    <mergeCell ref="B24:C24"/>
  </mergeCells>
  <conditionalFormatting sqref="E11">
    <cfRule type="iconSet" priority="2">
      <iconSet>
        <cfvo type="percent" val="0"/>
        <cfvo type="num" val="100" gte="0"/>
        <cfvo type="num" val="501" gte="0"/>
      </iconSet>
    </cfRule>
  </conditionalFormatting>
  <conditionalFormatting sqref="I9 I20:I49 I51:I1048576">
    <cfRule type="iconSet" priority="3">
      <iconSet>
        <cfvo type="percent" val="0"/>
        <cfvo type="num" val="100" gte="0"/>
        <cfvo type="num" val="501" gte="0"/>
      </iconSet>
    </cfRule>
  </conditionalFormatting>
  <conditionalFormatting sqref="H12:H27">
    <cfRule type="iconSet" priority="1">
      <iconSet iconSet="3Symbols2">
        <cfvo type="percent" val="0"/>
        <cfvo type="num" val="100" gte="0"/>
        <cfvo type="num" val="200" gte="0"/>
      </iconSet>
    </cfRule>
  </conditionalFormatting>
  <printOptions horizontalCentered="1"/>
  <pageMargins left="0.31496062992125984" right="0.31496062992125984" top="0.55118110236220474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7"/>
  <sheetViews>
    <sheetView rightToLeft="1" view="pageLayout" topLeftCell="A10" zoomScaleNormal="100" workbookViewId="0">
      <selection activeCell="G6" sqref="G6"/>
    </sheetView>
  </sheetViews>
  <sheetFormatPr defaultColWidth="9" defaultRowHeight="18" x14ac:dyDescent="0.45"/>
  <cols>
    <col min="1" max="1" width="9.25" style="1" customWidth="1"/>
    <col min="2" max="2" width="9.875" style="1" customWidth="1"/>
    <col min="3" max="4" width="9.375" style="1" customWidth="1"/>
    <col min="5" max="5" width="10" style="1" customWidth="1"/>
    <col min="6" max="7" width="9.375" style="1" customWidth="1"/>
    <col min="8" max="8" width="11.375" style="1" customWidth="1"/>
    <col min="9" max="9" width="11.875" style="1" customWidth="1"/>
    <col min="10" max="10" width="5.375" style="1" customWidth="1"/>
    <col min="11" max="16384" width="9" style="1"/>
  </cols>
  <sheetData>
    <row r="1" spans="1:9" ht="12" customHeight="1" x14ac:dyDescent="0.45"/>
    <row r="2" spans="1:9" ht="26.25" customHeight="1" x14ac:dyDescent="0.45">
      <c r="A2" s="45" t="s">
        <v>19</v>
      </c>
      <c r="B2" s="45"/>
      <c r="C2" s="45"/>
      <c r="D2" s="45"/>
      <c r="E2" s="45"/>
      <c r="F2" s="45"/>
      <c r="G2" s="45"/>
      <c r="H2" s="45"/>
      <c r="I2" s="45"/>
    </row>
    <row r="3" spans="1:9" ht="39" customHeight="1" x14ac:dyDescent="0.45">
      <c r="A3" s="46" t="s">
        <v>20</v>
      </c>
      <c r="B3" s="46"/>
      <c r="C3" s="47" t="s">
        <v>15</v>
      </c>
      <c r="D3" s="47"/>
      <c r="E3" s="47"/>
      <c r="F3" s="47"/>
      <c r="G3" s="47"/>
      <c r="H3" s="13" t="s">
        <v>0</v>
      </c>
      <c r="I3" s="13" t="s">
        <v>1</v>
      </c>
    </row>
    <row r="4" spans="1:9" ht="26.25" customHeight="1" x14ac:dyDescent="0.45">
      <c r="A4" s="48" t="s">
        <v>36</v>
      </c>
      <c r="B4" s="48"/>
      <c r="C4" s="2" t="s">
        <v>21</v>
      </c>
      <c r="D4" s="90">
        <v>40</v>
      </c>
      <c r="E4" s="91">
        <v>33</v>
      </c>
      <c r="F4" s="92" t="s">
        <v>37</v>
      </c>
      <c r="G4" s="93">
        <v>333</v>
      </c>
      <c r="H4" s="4" t="s">
        <v>139</v>
      </c>
      <c r="I4" s="4" t="s">
        <v>140</v>
      </c>
    </row>
    <row r="5" spans="1:9" ht="25.5" customHeight="1" x14ac:dyDescent="0.45">
      <c r="A5" s="14" t="s">
        <v>2</v>
      </c>
      <c r="B5" s="58">
        <v>123456</v>
      </c>
      <c r="C5" s="58"/>
      <c r="D5" s="58"/>
      <c r="E5" s="58"/>
      <c r="F5" s="14" t="s">
        <v>22</v>
      </c>
      <c r="G5" s="58">
        <v>987654</v>
      </c>
      <c r="H5" s="58"/>
      <c r="I5" s="58"/>
    </row>
    <row r="6" spans="1:9" ht="38.25" customHeight="1" x14ac:dyDescent="0.45">
      <c r="A6" s="38" t="s">
        <v>3</v>
      </c>
      <c r="B6" s="38"/>
      <c r="C6" s="14">
        <v>1398</v>
      </c>
      <c r="D6" s="13" t="s">
        <v>4</v>
      </c>
      <c r="E6" s="13" t="s">
        <v>38</v>
      </c>
      <c r="F6" s="13" t="s">
        <v>23</v>
      </c>
      <c r="G6" s="13" t="s">
        <v>129</v>
      </c>
      <c r="H6" s="13" t="s">
        <v>18</v>
      </c>
      <c r="I6" s="15">
        <v>44391</v>
      </c>
    </row>
    <row r="7" spans="1:9" ht="38.25" customHeight="1" x14ac:dyDescent="0.45">
      <c r="A7" s="50" t="s">
        <v>6</v>
      </c>
      <c r="B7" s="51"/>
      <c r="C7" s="50" t="s">
        <v>12</v>
      </c>
      <c r="D7" s="51"/>
      <c r="E7" s="14" t="s">
        <v>8</v>
      </c>
      <c r="F7" s="13" t="s">
        <v>105</v>
      </c>
      <c r="G7" s="13" t="s">
        <v>14</v>
      </c>
      <c r="H7" s="50" t="s">
        <v>13</v>
      </c>
      <c r="I7" s="51"/>
    </row>
    <row r="8" spans="1:9" s="9" customFormat="1" ht="38.25" customHeight="1" x14ac:dyDescent="0.2">
      <c r="A8" s="50"/>
      <c r="B8" s="51"/>
      <c r="C8" s="35"/>
      <c r="D8" s="37"/>
      <c r="E8" s="13"/>
      <c r="F8" s="13"/>
      <c r="G8" s="13"/>
      <c r="H8" s="50"/>
      <c r="I8" s="51"/>
    </row>
    <row r="9" spans="1:9" s="9" customFormat="1" ht="23.25" customHeight="1" x14ac:dyDescent="0.45">
      <c r="A9" s="1"/>
      <c r="B9" s="5"/>
      <c r="C9" s="5"/>
      <c r="D9" s="6"/>
      <c r="E9" s="6"/>
      <c r="F9" s="6"/>
      <c r="G9" s="6"/>
      <c r="H9" s="7"/>
      <c r="I9" s="7"/>
    </row>
    <row r="10" spans="1:9" s="9" customFormat="1" ht="42" customHeight="1" x14ac:dyDescent="0.45">
      <c r="A10" s="1"/>
      <c r="B10" s="39" t="s">
        <v>24</v>
      </c>
      <c r="C10" s="40"/>
      <c r="D10" s="41"/>
      <c r="E10" s="42">
        <f>Kilometrage!B2</f>
        <v>32000</v>
      </c>
      <c r="F10" s="42"/>
      <c r="G10" s="42"/>
      <c r="H10" s="42"/>
      <c r="I10" s="1"/>
    </row>
    <row r="11" spans="1:9" s="9" customFormat="1" ht="58.5" customHeight="1" x14ac:dyDescent="0.45">
      <c r="A11" s="1"/>
      <c r="B11" s="43" t="s">
        <v>25</v>
      </c>
      <c r="C11" s="44"/>
      <c r="D11" s="8" t="s">
        <v>5</v>
      </c>
      <c r="E11" s="8" t="s">
        <v>26</v>
      </c>
      <c r="F11" s="8" t="s">
        <v>27</v>
      </c>
      <c r="G11" s="8" t="s">
        <v>28</v>
      </c>
      <c r="H11" s="8" t="s">
        <v>29</v>
      </c>
      <c r="I11" s="1"/>
    </row>
    <row r="12" spans="1:9" s="9" customFormat="1" ht="25.5" customHeight="1" x14ac:dyDescent="0.2">
      <c r="B12" s="33" t="s">
        <v>6</v>
      </c>
      <c r="C12" s="34"/>
      <c r="D12" s="10">
        <v>7000</v>
      </c>
      <c r="E12" s="10">
        <v>28000</v>
      </c>
      <c r="F12" s="10">
        <f>E10</f>
        <v>32000</v>
      </c>
      <c r="G12" s="10">
        <f>F12-E12</f>
        <v>4000</v>
      </c>
      <c r="H12" s="10">
        <f>D12-G12</f>
        <v>3000</v>
      </c>
    </row>
    <row r="13" spans="1:9" ht="19.5" x14ac:dyDescent="0.45">
      <c r="A13" s="9"/>
      <c r="B13" s="33" t="s">
        <v>30</v>
      </c>
      <c r="C13" s="34"/>
      <c r="D13" s="10">
        <v>11000</v>
      </c>
      <c r="E13" s="10">
        <v>19000</v>
      </c>
      <c r="F13" s="10">
        <f>E10</f>
        <v>32000</v>
      </c>
      <c r="G13" s="10">
        <f t="shared" ref="G13:G18" si="0">F13-E13</f>
        <v>13000</v>
      </c>
      <c r="H13" s="10">
        <f t="shared" ref="H13:H18" si="1">D13-G13</f>
        <v>-2000</v>
      </c>
      <c r="I13" s="9"/>
    </row>
    <row r="14" spans="1:9" ht="19.5" x14ac:dyDescent="0.45">
      <c r="A14" s="9"/>
      <c r="B14" s="33" t="s">
        <v>8</v>
      </c>
      <c r="C14" s="34"/>
      <c r="D14" s="10">
        <v>40000</v>
      </c>
      <c r="E14" s="10">
        <v>20000</v>
      </c>
      <c r="F14" s="10">
        <f>E10</f>
        <v>32000</v>
      </c>
      <c r="G14" s="10">
        <f t="shared" si="0"/>
        <v>12000</v>
      </c>
      <c r="H14" s="10">
        <f t="shared" si="1"/>
        <v>28000</v>
      </c>
      <c r="I14" s="9"/>
    </row>
    <row r="15" spans="1:9" ht="19.5" x14ac:dyDescent="0.45">
      <c r="A15" s="9"/>
      <c r="B15" s="32" t="s">
        <v>39</v>
      </c>
      <c r="C15" s="32"/>
      <c r="D15" s="10">
        <v>75000</v>
      </c>
      <c r="E15" s="10">
        <v>20000</v>
      </c>
      <c r="F15" s="10">
        <f>E10</f>
        <v>32000</v>
      </c>
      <c r="G15" s="10">
        <f t="shared" si="0"/>
        <v>12000</v>
      </c>
      <c r="H15" s="10">
        <f t="shared" si="1"/>
        <v>63000</v>
      </c>
      <c r="I15" s="9"/>
    </row>
    <row r="16" spans="1:9" ht="19.5" x14ac:dyDescent="0.45">
      <c r="A16" s="9"/>
      <c r="B16" s="32" t="s">
        <v>34</v>
      </c>
      <c r="C16" s="32"/>
      <c r="D16" s="10">
        <v>75000</v>
      </c>
      <c r="E16" s="10">
        <v>20000</v>
      </c>
      <c r="F16" s="10">
        <f>E10</f>
        <v>32000</v>
      </c>
      <c r="G16" s="10">
        <f t="shared" si="0"/>
        <v>12000</v>
      </c>
      <c r="H16" s="10">
        <f t="shared" si="1"/>
        <v>63000</v>
      </c>
      <c r="I16" s="9"/>
    </row>
    <row r="17" spans="1:13" ht="19.5" x14ac:dyDescent="0.45">
      <c r="A17" s="9"/>
      <c r="B17" s="32" t="s">
        <v>9</v>
      </c>
      <c r="C17" s="32"/>
      <c r="D17" s="10">
        <v>25000</v>
      </c>
      <c r="E17" s="10">
        <v>20000</v>
      </c>
      <c r="F17" s="10">
        <f>E10</f>
        <v>32000</v>
      </c>
      <c r="G17" s="10">
        <f t="shared" si="0"/>
        <v>12000</v>
      </c>
      <c r="H17" s="10">
        <f t="shared" si="1"/>
        <v>13000</v>
      </c>
      <c r="I17" s="9"/>
    </row>
    <row r="18" spans="1:13" ht="19.5" x14ac:dyDescent="0.45">
      <c r="A18" s="9"/>
      <c r="B18" s="33" t="s">
        <v>10</v>
      </c>
      <c r="C18" s="34"/>
      <c r="D18" s="10">
        <v>80000</v>
      </c>
      <c r="E18" s="10">
        <v>20000</v>
      </c>
      <c r="F18" s="10">
        <f>E10</f>
        <v>32000</v>
      </c>
      <c r="G18" s="10">
        <f t="shared" si="0"/>
        <v>12000</v>
      </c>
      <c r="H18" s="10">
        <f t="shared" si="1"/>
        <v>68000</v>
      </c>
      <c r="I18" s="9"/>
    </row>
    <row r="19" spans="1:13" ht="8.4499999999999993" customHeight="1" x14ac:dyDescent="0.45"/>
    <row r="20" spans="1:13" ht="8.4499999999999993" customHeight="1" x14ac:dyDescent="0.45">
      <c r="A20"/>
      <c r="B20"/>
      <c r="C20"/>
      <c r="D20"/>
      <c r="E20"/>
      <c r="F20"/>
      <c r="G20"/>
      <c r="H20"/>
      <c r="I20"/>
    </row>
    <row r="21" spans="1:13" ht="25.5" x14ac:dyDescent="0.45">
      <c r="A21" s="89" t="s">
        <v>104</v>
      </c>
      <c r="B21" s="89"/>
      <c r="C21" s="89"/>
      <c r="D21" s="89"/>
      <c r="E21" s="89"/>
      <c r="F21" s="89"/>
      <c r="G21" s="89"/>
      <c r="H21" s="89"/>
      <c r="I21" s="89"/>
    </row>
    <row r="23" spans="1:13" ht="33.75" x14ac:dyDescent="0.45">
      <c r="A23" s="69" t="s">
        <v>88</v>
      </c>
      <c r="B23" s="70"/>
      <c r="C23" s="70"/>
      <c r="D23" s="70"/>
      <c r="E23" s="70"/>
      <c r="F23" s="70"/>
      <c r="G23" s="70"/>
      <c r="H23" s="70"/>
      <c r="I23" s="71"/>
    </row>
    <row r="24" spans="1:13" ht="42" x14ac:dyDescent="0.45">
      <c r="A24" s="50" t="s">
        <v>89</v>
      </c>
      <c r="B24" s="51"/>
      <c r="C24" s="16" t="s">
        <v>118</v>
      </c>
      <c r="D24" s="17" t="s">
        <v>90</v>
      </c>
      <c r="E24" s="55" t="s">
        <v>91</v>
      </c>
      <c r="F24" s="56"/>
      <c r="G24" s="56"/>
      <c r="H24" s="56"/>
      <c r="I24" s="57"/>
    </row>
    <row r="25" spans="1:13" ht="21.2" customHeight="1" x14ac:dyDescent="0.45">
      <c r="A25" s="64">
        <v>45619</v>
      </c>
      <c r="B25" s="65"/>
      <c r="C25" s="19">
        <v>28000</v>
      </c>
      <c r="D25" s="13" t="s">
        <v>119</v>
      </c>
      <c r="E25" s="66" t="s">
        <v>6</v>
      </c>
      <c r="F25" s="84"/>
      <c r="G25" s="84"/>
      <c r="H25" s="84"/>
      <c r="I25" s="67"/>
      <c r="M25" s="29"/>
    </row>
    <row r="27" spans="1:13" ht="33.75" x14ac:dyDescent="0.45">
      <c r="A27" s="59" t="s">
        <v>80</v>
      </c>
      <c r="B27" s="60"/>
      <c r="C27" s="60"/>
      <c r="D27" s="60"/>
      <c r="E27" s="60"/>
      <c r="F27" s="60"/>
      <c r="G27" s="60"/>
      <c r="H27" s="60"/>
      <c r="I27" s="61"/>
    </row>
    <row r="28" spans="1:13" ht="63" x14ac:dyDescent="0.45">
      <c r="A28" s="50" t="s">
        <v>81</v>
      </c>
      <c r="B28" s="51"/>
      <c r="C28" s="16" t="s">
        <v>82</v>
      </c>
      <c r="D28" s="17" t="s">
        <v>83</v>
      </c>
      <c r="E28" s="17" t="s">
        <v>84</v>
      </c>
      <c r="F28" s="18" t="s">
        <v>85</v>
      </c>
      <c r="G28" s="18" t="s">
        <v>86</v>
      </c>
      <c r="H28" s="62" t="s">
        <v>87</v>
      </c>
      <c r="I28" s="63"/>
    </row>
    <row r="29" spans="1:13" ht="24" customHeight="1" x14ac:dyDescent="0.45">
      <c r="A29" s="64">
        <v>45617</v>
      </c>
      <c r="B29" s="65"/>
      <c r="C29" s="19">
        <v>3000</v>
      </c>
      <c r="D29" s="13">
        <v>24</v>
      </c>
      <c r="E29" s="13" t="s">
        <v>76</v>
      </c>
      <c r="F29" s="13" t="s">
        <v>129</v>
      </c>
      <c r="G29" s="13" t="s">
        <v>130</v>
      </c>
      <c r="H29" s="66" t="s">
        <v>132</v>
      </c>
      <c r="I29" s="67"/>
      <c r="K29" s="29"/>
    </row>
    <row r="31" spans="1:13" ht="33.75" x14ac:dyDescent="0.45">
      <c r="A31" s="59" t="s">
        <v>80</v>
      </c>
      <c r="B31" s="60"/>
      <c r="C31" s="60"/>
      <c r="D31" s="60"/>
      <c r="E31" s="60"/>
      <c r="F31" s="60"/>
      <c r="G31" s="60"/>
      <c r="H31" s="60"/>
      <c r="I31" s="61"/>
    </row>
    <row r="32" spans="1:13" ht="63" x14ac:dyDescent="0.45">
      <c r="A32" s="50" t="s">
        <v>81</v>
      </c>
      <c r="B32" s="51"/>
      <c r="C32" s="16" t="s">
        <v>82</v>
      </c>
      <c r="D32" s="17" t="s">
        <v>83</v>
      </c>
      <c r="E32" s="17" t="s">
        <v>84</v>
      </c>
      <c r="F32" s="18" t="s">
        <v>85</v>
      </c>
      <c r="G32" s="18" t="s">
        <v>86</v>
      </c>
      <c r="H32" s="62" t="s">
        <v>87</v>
      </c>
      <c r="I32" s="63"/>
    </row>
    <row r="33" spans="1:11" ht="24" customHeight="1" x14ac:dyDescent="0.45">
      <c r="A33" s="64">
        <v>45620</v>
      </c>
      <c r="B33" s="65"/>
      <c r="C33" s="19">
        <v>20000</v>
      </c>
      <c r="D33" s="13" t="s">
        <v>129</v>
      </c>
      <c r="E33" s="13" t="s">
        <v>130</v>
      </c>
      <c r="F33" s="13" t="s">
        <v>133</v>
      </c>
      <c r="G33" s="13" t="s">
        <v>134</v>
      </c>
      <c r="H33" s="66" t="s">
        <v>135</v>
      </c>
      <c r="I33" s="67"/>
      <c r="K33" s="29"/>
    </row>
    <row r="35" spans="1:11" ht="33.75" x14ac:dyDescent="0.45">
      <c r="A35" s="59" t="s">
        <v>80</v>
      </c>
      <c r="B35" s="60"/>
      <c r="C35" s="60"/>
      <c r="D35" s="60"/>
      <c r="E35" s="60"/>
      <c r="F35" s="60"/>
      <c r="G35" s="60"/>
      <c r="H35" s="60"/>
      <c r="I35" s="61"/>
    </row>
    <row r="36" spans="1:11" ht="63" x14ac:dyDescent="0.45">
      <c r="A36" s="50" t="s">
        <v>81</v>
      </c>
      <c r="B36" s="51"/>
      <c r="C36" s="16" t="s">
        <v>82</v>
      </c>
      <c r="D36" s="17" t="s">
        <v>83</v>
      </c>
      <c r="E36" s="17" t="s">
        <v>84</v>
      </c>
      <c r="F36" s="18" t="s">
        <v>85</v>
      </c>
      <c r="G36" s="18" t="s">
        <v>86</v>
      </c>
      <c r="H36" s="62" t="s">
        <v>87</v>
      </c>
      <c r="I36" s="63"/>
    </row>
    <row r="37" spans="1:11" ht="63.75" customHeight="1" x14ac:dyDescent="0.45">
      <c r="A37" s="64">
        <v>45620</v>
      </c>
      <c r="B37" s="65"/>
      <c r="C37" s="19">
        <v>32000</v>
      </c>
      <c r="D37" s="13" t="s">
        <v>133</v>
      </c>
      <c r="E37" s="13" t="s">
        <v>134</v>
      </c>
      <c r="F37" s="13" t="s">
        <v>129</v>
      </c>
      <c r="G37" s="13" t="s">
        <v>139</v>
      </c>
      <c r="H37" s="66" t="s">
        <v>141</v>
      </c>
      <c r="I37" s="67"/>
      <c r="K37" s="29"/>
    </row>
  </sheetData>
  <sheetProtection sheet="1" objects="1" scenarios="1"/>
  <mergeCells count="46">
    <mergeCell ref="A6:B6"/>
    <mergeCell ref="B10:D10"/>
    <mergeCell ref="E10:H10"/>
    <mergeCell ref="B11:C11"/>
    <mergeCell ref="B12:C12"/>
    <mergeCell ref="H8:I8"/>
    <mergeCell ref="H7:I7"/>
    <mergeCell ref="C8:D8"/>
    <mergeCell ref="A8:B8"/>
    <mergeCell ref="C7:D7"/>
    <mergeCell ref="A7:B7"/>
    <mergeCell ref="A2:I2"/>
    <mergeCell ref="A3:B3"/>
    <mergeCell ref="C3:G3"/>
    <mergeCell ref="A4:B4"/>
    <mergeCell ref="B5:E5"/>
    <mergeCell ref="G5:I5"/>
    <mergeCell ref="D4:E4"/>
    <mergeCell ref="F4:G4"/>
    <mergeCell ref="B14:C14"/>
    <mergeCell ref="B13:C13"/>
    <mergeCell ref="B15:C15"/>
    <mergeCell ref="A35:I35"/>
    <mergeCell ref="A36:B36"/>
    <mergeCell ref="H36:I36"/>
    <mergeCell ref="A21:I21"/>
    <mergeCell ref="A23:I23"/>
    <mergeCell ref="A33:B33"/>
    <mergeCell ref="H33:I33"/>
    <mergeCell ref="A29:B29"/>
    <mergeCell ref="H29:I29"/>
    <mergeCell ref="A31:I31"/>
    <mergeCell ref="A32:B32"/>
    <mergeCell ref="H32:I32"/>
    <mergeCell ref="A37:B37"/>
    <mergeCell ref="H37:I37"/>
    <mergeCell ref="B16:C16"/>
    <mergeCell ref="B17:C17"/>
    <mergeCell ref="B18:C18"/>
    <mergeCell ref="A27:I27"/>
    <mergeCell ref="A28:B28"/>
    <mergeCell ref="H28:I28"/>
    <mergeCell ref="A24:B24"/>
    <mergeCell ref="E24:I24"/>
    <mergeCell ref="A25:B25"/>
    <mergeCell ref="E25:I25"/>
  </mergeCells>
  <conditionalFormatting sqref="I16:I19 I22 I26 I30 I34 I38:I1048576">
    <cfRule type="iconSet" priority="10">
      <iconSet>
        <cfvo type="percent" val="0"/>
        <cfvo type="num" val="100" gte="0"/>
        <cfvo type="num" val="501" gte="0"/>
      </iconSet>
    </cfRule>
  </conditionalFormatting>
  <conditionalFormatting sqref="H12:H18">
    <cfRule type="iconSet" priority="43">
      <iconSet iconSet="3Symbols2">
        <cfvo type="percent" val="0"/>
        <cfvo type="num" val="100" gte="0"/>
        <cfvo type="num" val="200" gte="0"/>
      </iconSet>
    </cfRule>
  </conditionalFormatting>
  <conditionalFormatting sqref="E11">
    <cfRule type="iconSet" priority="5">
      <iconSet>
        <cfvo type="percent" val="0"/>
        <cfvo type="num" val="100" gte="0"/>
        <cfvo type="num" val="501" gte="0"/>
      </iconSet>
    </cfRule>
  </conditionalFormatting>
  <conditionalFormatting sqref="I9">
    <cfRule type="iconSet" priority="6">
      <iconSet>
        <cfvo type="percent" val="0"/>
        <cfvo type="num" val="100" gte="0"/>
        <cfvo type="num" val="501" gte="0"/>
      </iconSet>
    </cfRule>
  </conditionalFormatting>
  <conditionalFormatting sqref="I23:I25">
    <cfRule type="iconSet" priority="4">
      <iconSet>
        <cfvo type="percent" val="0"/>
        <cfvo type="num" val="100" gte="0"/>
        <cfvo type="num" val="501" gte="0"/>
      </iconSet>
    </cfRule>
  </conditionalFormatting>
  <conditionalFormatting sqref="I27:I29">
    <cfRule type="iconSet" priority="3">
      <iconSet>
        <cfvo type="percent" val="0"/>
        <cfvo type="num" val="100" gte="0"/>
        <cfvo type="num" val="501" gte="0"/>
      </iconSet>
    </cfRule>
  </conditionalFormatting>
  <conditionalFormatting sqref="I31:I33">
    <cfRule type="iconSet" priority="2">
      <iconSet>
        <cfvo type="percent" val="0"/>
        <cfvo type="num" val="100" gte="0"/>
        <cfvo type="num" val="501" gte="0"/>
      </iconSet>
    </cfRule>
  </conditionalFormatting>
  <conditionalFormatting sqref="I35:I37">
    <cfRule type="iconSet" priority="1">
      <iconSet>
        <cfvo type="percent" val="0"/>
        <cfvo type="num" val="100" gte="0"/>
        <cfvo type="num" val="501" gte="0"/>
      </iconSet>
    </cfRule>
  </conditionalFormatting>
  <pageMargins left="0.21875" right="0.15625" top="0.54166666666666663" bottom="0.75" header="0.3" footer="0.3"/>
  <pageSetup paperSize="9" orientation="portrait" r:id="rId1"/>
  <rowBreaks count="1" manualBreakCount="1">
    <brk id="19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44"/>
  <sheetViews>
    <sheetView rightToLeft="1" view="pageLayout" zoomScaleNormal="100" workbookViewId="0">
      <selection activeCell="C38" sqref="C38"/>
    </sheetView>
  </sheetViews>
  <sheetFormatPr defaultColWidth="9" defaultRowHeight="18" x14ac:dyDescent="0.45"/>
  <cols>
    <col min="1" max="1" width="9.25" style="1" customWidth="1"/>
    <col min="2" max="2" width="9.875" style="1" customWidth="1"/>
    <col min="3" max="4" width="9.375" style="1" customWidth="1"/>
    <col min="5" max="5" width="10" style="1" customWidth="1"/>
    <col min="6" max="7" width="9.375" style="1" customWidth="1"/>
    <col min="8" max="8" width="11.375" style="1" customWidth="1"/>
    <col min="9" max="9" width="11.875" style="1" customWidth="1"/>
    <col min="10" max="10" width="5.375" style="1" customWidth="1"/>
    <col min="11" max="16384" width="9" style="1"/>
  </cols>
  <sheetData>
    <row r="1" spans="1:14" ht="12" customHeight="1" x14ac:dyDescent="0.45"/>
    <row r="2" spans="1:14" ht="26.25" customHeight="1" x14ac:dyDescent="0.45">
      <c r="A2" s="45" t="s">
        <v>19</v>
      </c>
      <c r="B2" s="45"/>
      <c r="C2" s="45"/>
      <c r="D2" s="45"/>
      <c r="E2" s="45"/>
      <c r="F2" s="45"/>
      <c r="G2" s="45"/>
      <c r="H2" s="45"/>
      <c r="I2" s="45"/>
    </row>
    <row r="3" spans="1:14" ht="39" customHeight="1" x14ac:dyDescent="0.45">
      <c r="A3" s="46" t="s">
        <v>20</v>
      </c>
      <c r="B3" s="46"/>
      <c r="C3" s="47" t="s">
        <v>15</v>
      </c>
      <c r="D3" s="47"/>
      <c r="E3" s="47"/>
      <c r="F3" s="47"/>
      <c r="G3" s="47"/>
      <c r="H3" s="13" t="s">
        <v>0</v>
      </c>
      <c r="I3" s="13" t="s">
        <v>1</v>
      </c>
    </row>
    <row r="4" spans="1:14" ht="26.25" customHeight="1" x14ac:dyDescent="0.45">
      <c r="A4" s="48" t="s">
        <v>41</v>
      </c>
      <c r="B4" s="48"/>
      <c r="C4" s="2" t="s">
        <v>21</v>
      </c>
      <c r="D4" s="2">
        <v>40</v>
      </c>
      <c r="E4" s="3">
        <v>12</v>
      </c>
      <c r="F4" s="3" t="s">
        <v>40</v>
      </c>
      <c r="G4" s="3">
        <v>547</v>
      </c>
      <c r="H4" s="4" t="s">
        <v>43</v>
      </c>
      <c r="I4" s="4" t="s">
        <v>44</v>
      </c>
    </row>
    <row r="5" spans="1:14" ht="25.5" customHeight="1" x14ac:dyDescent="0.45">
      <c r="A5" s="14" t="s">
        <v>2</v>
      </c>
      <c r="B5" s="58">
        <v>14</v>
      </c>
      <c r="C5" s="58"/>
      <c r="D5" s="58"/>
      <c r="E5" s="58"/>
      <c r="F5" s="14" t="s">
        <v>22</v>
      </c>
      <c r="G5" s="58">
        <v>54</v>
      </c>
      <c r="H5" s="58"/>
      <c r="I5" s="58"/>
    </row>
    <row r="6" spans="1:14" ht="38.25" customHeight="1" x14ac:dyDescent="0.45">
      <c r="A6" s="38" t="s">
        <v>3</v>
      </c>
      <c r="B6" s="38"/>
      <c r="C6" s="14">
        <v>98</v>
      </c>
      <c r="D6" s="13" t="s">
        <v>4</v>
      </c>
      <c r="E6" s="13" t="s">
        <v>42</v>
      </c>
      <c r="F6" s="13" t="s">
        <v>23</v>
      </c>
      <c r="G6" s="13" t="s">
        <v>45</v>
      </c>
      <c r="H6" s="13" t="s">
        <v>18</v>
      </c>
      <c r="I6" s="15">
        <v>44387</v>
      </c>
    </row>
    <row r="7" spans="1:14" ht="38.25" customHeight="1" x14ac:dyDescent="0.45">
      <c r="A7" s="50" t="s">
        <v>6</v>
      </c>
      <c r="B7" s="51"/>
      <c r="C7" s="50" t="s">
        <v>12</v>
      </c>
      <c r="D7" s="51"/>
      <c r="E7" s="14" t="s">
        <v>8</v>
      </c>
      <c r="F7" s="13" t="s">
        <v>105</v>
      </c>
      <c r="G7" s="13" t="s">
        <v>14</v>
      </c>
      <c r="H7" s="50" t="s">
        <v>13</v>
      </c>
      <c r="I7" s="51"/>
      <c r="J7" s="7"/>
      <c r="K7" s="5"/>
      <c r="L7" s="5"/>
      <c r="M7" s="5"/>
      <c r="N7" s="5"/>
    </row>
    <row r="8" spans="1:14" ht="38.25" customHeight="1" x14ac:dyDescent="0.45">
      <c r="A8" s="50"/>
      <c r="B8" s="51"/>
      <c r="C8" s="35"/>
      <c r="D8" s="37"/>
      <c r="E8" s="13"/>
      <c r="F8" s="13"/>
      <c r="G8" s="13"/>
      <c r="H8" s="50"/>
      <c r="I8" s="51"/>
    </row>
    <row r="9" spans="1:14" ht="23.25" customHeight="1" x14ac:dyDescent="0.45">
      <c r="B9" s="5"/>
      <c r="C9" s="5"/>
      <c r="D9" s="6"/>
      <c r="E9" s="6"/>
      <c r="F9" s="6"/>
      <c r="G9" s="6"/>
      <c r="H9" s="7"/>
      <c r="I9" s="7"/>
    </row>
    <row r="10" spans="1:14" s="9" customFormat="1" ht="42" customHeight="1" x14ac:dyDescent="0.45">
      <c r="A10" s="1"/>
      <c r="B10" s="39" t="s">
        <v>24</v>
      </c>
      <c r="C10" s="40"/>
      <c r="D10" s="41"/>
      <c r="E10" s="42">
        <f>Kilometrage!B3</f>
        <v>67000</v>
      </c>
      <c r="F10" s="42"/>
      <c r="G10" s="42"/>
      <c r="H10" s="42"/>
      <c r="I10" s="1"/>
    </row>
    <row r="11" spans="1:14" s="9" customFormat="1" ht="58.5" customHeight="1" x14ac:dyDescent="0.45">
      <c r="A11" s="1"/>
      <c r="B11" s="43" t="s">
        <v>25</v>
      </c>
      <c r="C11" s="44"/>
      <c r="D11" s="8" t="s">
        <v>5</v>
      </c>
      <c r="E11" s="8" t="s">
        <v>26</v>
      </c>
      <c r="F11" s="8" t="s">
        <v>27</v>
      </c>
      <c r="G11" s="8" t="s">
        <v>28</v>
      </c>
      <c r="H11" s="8" t="s">
        <v>29</v>
      </c>
      <c r="I11" s="1"/>
    </row>
    <row r="12" spans="1:14" s="9" customFormat="1" ht="25.5" customHeight="1" x14ac:dyDescent="0.2">
      <c r="B12" s="33" t="s">
        <v>6</v>
      </c>
      <c r="C12" s="34"/>
      <c r="D12" s="10">
        <v>8000</v>
      </c>
      <c r="E12" s="10">
        <v>67000</v>
      </c>
      <c r="F12" s="10">
        <f>E10</f>
        <v>67000</v>
      </c>
      <c r="G12" s="10">
        <f>F12-E12</f>
        <v>0</v>
      </c>
      <c r="H12" s="10">
        <f>D12-G12</f>
        <v>8000</v>
      </c>
    </row>
    <row r="13" spans="1:14" s="9" customFormat="1" ht="25.5" customHeight="1" x14ac:dyDescent="0.2">
      <c r="B13" s="33" t="s">
        <v>30</v>
      </c>
      <c r="C13" s="34"/>
      <c r="D13" s="10">
        <v>11000</v>
      </c>
      <c r="E13" s="10">
        <v>67000</v>
      </c>
      <c r="F13" s="10">
        <f>E10</f>
        <v>67000</v>
      </c>
      <c r="G13" s="10">
        <f t="shared" ref="G13:G27" si="0">F13-E13</f>
        <v>0</v>
      </c>
      <c r="H13" s="10">
        <f t="shared" ref="H13:H27" si="1">D13-G13</f>
        <v>11000</v>
      </c>
    </row>
    <row r="14" spans="1:14" s="9" customFormat="1" ht="25.5" customHeight="1" x14ac:dyDescent="0.2">
      <c r="B14" s="33" t="s">
        <v>31</v>
      </c>
      <c r="C14" s="34"/>
      <c r="D14" s="10">
        <v>6000</v>
      </c>
      <c r="E14" s="10">
        <v>67000</v>
      </c>
      <c r="F14" s="10">
        <f>E10</f>
        <v>67000</v>
      </c>
      <c r="G14" s="10">
        <f t="shared" si="0"/>
        <v>0</v>
      </c>
      <c r="H14" s="10">
        <f t="shared" si="1"/>
        <v>6000</v>
      </c>
    </row>
    <row r="15" spans="1:14" s="9" customFormat="1" ht="25.5" customHeight="1" x14ac:dyDescent="0.2">
      <c r="B15" s="33" t="s">
        <v>32</v>
      </c>
      <c r="C15" s="34"/>
      <c r="D15" s="10">
        <v>30000</v>
      </c>
      <c r="E15" s="10">
        <v>40000</v>
      </c>
      <c r="F15" s="10">
        <f>E10</f>
        <v>67000</v>
      </c>
      <c r="G15" s="10">
        <f t="shared" si="0"/>
        <v>27000</v>
      </c>
      <c r="H15" s="10">
        <f t="shared" si="1"/>
        <v>3000</v>
      </c>
    </row>
    <row r="16" spans="1:14" s="9" customFormat="1" ht="25.5" customHeight="1" x14ac:dyDescent="0.2">
      <c r="B16" s="33" t="s">
        <v>7</v>
      </c>
      <c r="C16" s="34"/>
      <c r="D16" s="10">
        <v>60000</v>
      </c>
      <c r="E16" s="10">
        <v>40000</v>
      </c>
      <c r="F16" s="10">
        <f>E10</f>
        <v>67000</v>
      </c>
      <c r="G16" s="10">
        <f t="shared" si="0"/>
        <v>27000</v>
      </c>
      <c r="H16" s="10">
        <f t="shared" si="1"/>
        <v>33000</v>
      </c>
    </row>
    <row r="17" spans="1:9" s="9" customFormat="1" ht="25.5" customHeight="1" x14ac:dyDescent="0.2">
      <c r="B17" s="33" t="s">
        <v>8</v>
      </c>
      <c r="C17" s="34"/>
      <c r="D17" s="10">
        <v>40000</v>
      </c>
      <c r="E17" s="10">
        <v>40000</v>
      </c>
      <c r="F17" s="10">
        <f>E10</f>
        <v>67000</v>
      </c>
      <c r="G17" s="10">
        <f t="shared" si="0"/>
        <v>27000</v>
      </c>
      <c r="H17" s="10">
        <f t="shared" si="1"/>
        <v>13000</v>
      </c>
    </row>
    <row r="18" spans="1:9" s="9" customFormat="1" ht="25.5" customHeight="1" x14ac:dyDescent="0.2">
      <c r="B18" s="33" t="s">
        <v>33</v>
      </c>
      <c r="C18" s="34"/>
      <c r="D18" s="10">
        <v>45000</v>
      </c>
      <c r="E18" s="10">
        <v>40000</v>
      </c>
      <c r="F18" s="10">
        <f>E10</f>
        <v>67000</v>
      </c>
      <c r="G18" s="10">
        <f t="shared" si="0"/>
        <v>27000</v>
      </c>
      <c r="H18" s="10">
        <f t="shared" si="1"/>
        <v>18000</v>
      </c>
    </row>
    <row r="19" spans="1:9" s="9" customFormat="1" ht="25.5" customHeight="1" x14ac:dyDescent="0.2">
      <c r="B19" s="32" t="s">
        <v>39</v>
      </c>
      <c r="C19" s="32"/>
      <c r="D19" s="10">
        <v>75000</v>
      </c>
      <c r="E19" s="10">
        <v>40000</v>
      </c>
      <c r="F19" s="10">
        <f>E10</f>
        <v>67000</v>
      </c>
      <c r="G19" s="10">
        <f t="shared" si="0"/>
        <v>27000</v>
      </c>
      <c r="H19" s="10">
        <f t="shared" si="1"/>
        <v>48000</v>
      </c>
    </row>
    <row r="20" spans="1:9" s="9" customFormat="1" ht="25.5" customHeight="1" x14ac:dyDescent="0.2">
      <c r="B20" s="32" t="s">
        <v>34</v>
      </c>
      <c r="C20" s="32"/>
      <c r="D20" s="10">
        <v>75000</v>
      </c>
      <c r="E20" s="10">
        <v>40000</v>
      </c>
      <c r="F20" s="10">
        <f>E10</f>
        <v>67000</v>
      </c>
      <c r="G20" s="10">
        <f t="shared" si="0"/>
        <v>27000</v>
      </c>
      <c r="H20" s="10">
        <f t="shared" si="1"/>
        <v>48000</v>
      </c>
    </row>
    <row r="21" spans="1:9" s="9" customFormat="1" ht="25.5" customHeight="1" x14ac:dyDescent="0.2">
      <c r="B21" s="32" t="s">
        <v>35</v>
      </c>
      <c r="C21" s="32"/>
      <c r="D21" s="10">
        <v>75000</v>
      </c>
      <c r="E21" s="10">
        <v>40000</v>
      </c>
      <c r="F21" s="10">
        <f>E10</f>
        <v>67000</v>
      </c>
      <c r="G21" s="10">
        <f t="shared" si="0"/>
        <v>27000</v>
      </c>
      <c r="H21" s="10">
        <f t="shared" si="1"/>
        <v>48000</v>
      </c>
    </row>
    <row r="22" spans="1:9" s="9" customFormat="1" ht="25.5" customHeight="1" x14ac:dyDescent="0.2">
      <c r="B22" s="32" t="s">
        <v>9</v>
      </c>
      <c r="C22" s="32"/>
      <c r="D22" s="10">
        <v>25000</v>
      </c>
      <c r="E22" s="10">
        <v>40000</v>
      </c>
      <c r="F22" s="10">
        <f>E10</f>
        <v>67000</v>
      </c>
      <c r="G22" s="10">
        <f t="shared" si="0"/>
        <v>27000</v>
      </c>
      <c r="H22" s="10">
        <f t="shared" si="1"/>
        <v>-2000</v>
      </c>
    </row>
    <row r="23" spans="1:9" s="9" customFormat="1" ht="25.5" customHeight="1" x14ac:dyDescent="0.2">
      <c r="B23" s="33" t="s">
        <v>10</v>
      </c>
      <c r="C23" s="34"/>
      <c r="D23" s="10">
        <v>80000</v>
      </c>
      <c r="E23" s="10">
        <v>40000</v>
      </c>
      <c r="F23" s="10">
        <f>E10</f>
        <v>67000</v>
      </c>
      <c r="G23" s="10">
        <f t="shared" si="0"/>
        <v>27000</v>
      </c>
      <c r="H23" s="10">
        <f t="shared" si="1"/>
        <v>53000</v>
      </c>
    </row>
    <row r="24" spans="1:9" s="9" customFormat="1" ht="25.5" customHeight="1" x14ac:dyDescent="0.2">
      <c r="B24" s="32" t="s">
        <v>11</v>
      </c>
      <c r="C24" s="32"/>
      <c r="D24" s="10">
        <v>60000</v>
      </c>
      <c r="E24" s="10">
        <v>40000</v>
      </c>
      <c r="F24" s="10">
        <f>E10</f>
        <v>67000</v>
      </c>
      <c r="G24" s="10">
        <f t="shared" si="0"/>
        <v>27000</v>
      </c>
      <c r="H24" s="10">
        <f t="shared" si="1"/>
        <v>33000</v>
      </c>
    </row>
    <row r="25" spans="1:9" ht="25.5" customHeight="1" x14ac:dyDescent="0.45">
      <c r="A25" s="9"/>
      <c r="B25" s="32" t="s">
        <v>12</v>
      </c>
      <c r="C25" s="32"/>
      <c r="D25" s="10">
        <v>90000</v>
      </c>
      <c r="E25" s="10">
        <v>40000</v>
      </c>
      <c r="F25" s="10">
        <f>E10</f>
        <v>67000</v>
      </c>
      <c r="G25" s="10">
        <f t="shared" si="0"/>
        <v>27000</v>
      </c>
      <c r="H25" s="10">
        <f t="shared" si="1"/>
        <v>63000</v>
      </c>
      <c r="I25" s="9"/>
    </row>
    <row r="26" spans="1:9" ht="19.5" x14ac:dyDescent="0.45">
      <c r="A26" s="9"/>
      <c r="B26" s="32" t="s">
        <v>13</v>
      </c>
      <c r="C26" s="32"/>
      <c r="D26" s="10">
        <v>80000</v>
      </c>
      <c r="E26" s="10">
        <v>40000</v>
      </c>
      <c r="F26" s="10">
        <f>E10</f>
        <v>67000</v>
      </c>
      <c r="G26" s="10">
        <f t="shared" si="0"/>
        <v>27000</v>
      </c>
      <c r="H26" s="10">
        <f t="shared" si="1"/>
        <v>53000</v>
      </c>
      <c r="I26" s="9"/>
    </row>
    <row r="27" spans="1:9" ht="19.5" x14ac:dyDescent="0.45">
      <c r="B27" s="32" t="s">
        <v>14</v>
      </c>
      <c r="C27" s="32"/>
      <c r="D27" s="10">
        <v>60000</v>
      </c>
      <c r="E27" s="10">
        <v>40000</v>
      </c>
      <c r="F27" s="10">
        <f>E10</f>
        <v>67000</v>
      </c>
      <c r="G27" s="10">
        <f t="shared" si="0"/>
        <v>27000</v>
      </c>
      <c r="H27" s="10">
        <f t="shared" si="1"/>
        <v>33000</v>
      </c>
    </row>
    <row r="28" spans="1:9" ht="8.4499999999999993" customHeight="1" x14ac:dyDescent="0.45"/>
    <row r="29" spans="1:9" ht="8.4499999999999993" customHeight="1" x14ac:dyDescent="0.45">
      <c r="A29"/>
      <c r="B29"/>
      <c r="C29"/>
      <c r="D29"/>
      <c r="E29"/>
      <c r="F29"/>
      <c r="G29"/>
      <c r="H29"/>
      <c r="I29"/>
    </row>
    <row r="30" spans="1:9" ht="25.5" x14ac:dyDescent="0.45">
      <c r="A30" s="89" t="s">
        <v>104</v>
      </c>
      <c r="B30" s="89"/>
      <c r="C30" s="89"/>
      <c r="D30" s="89"/>
      <c r="E30" s="89"/>
      <c r="F30" s="89"/>
      <c r="G30" s="89"/>
      <c r="H30" s="89"/>
      <c r="I30" s="89"/>
    </row>
    <row r="32" spans="1:9" ht="33.75" x14ac:dyDescent="0.45">
      <c r="A32" s="69" t="s">
        <v>88</v>
      </c>
      <c r="B32" s="70"/>
      <c r="C32" s="70"/>
      <c r="D32" s="70"/>
      <c r="E32" s="70"/>
      <c r="F32" s="70"/>
      <c r="G32" s="70"/>
      <c r="H32" s="70"/>
      <c r="I32" s="71"/>
    </row>
    <row r="33" spans="1:15" ht="42" x14ac:dyDescent="0.45">
      <c r="A33" s="50" t="s">
        <v>89</v>
      </c>
      <c r="B33" s="51"/>
      <c r="C33" s="16" t="s">
        <v>118</v>
      </c>
      <c r="D33" s="17" t="s">
        <v>90</v>
      </c>
      <c r="E33" s="55" t="s">
        <v>91</v>
      </c>
      <c r="F33" s="56"/>
      <c r="G33" s="56"/>
      <c r="H33" s="56"/>
      <c r="I33" s="57"/>
    </row>
    <row r="34" spans="1:15" ht="63.75" customHeight="1" x14ac:dyDescent="0.45">
      <c r="A34" s="64">
        <v>45620</v>
      </c>
      <c r="B34" s="65"/>
      <c r="C34" s="19">
        <v>67000</v>
      </c>
      <c r="D34" s="13" t="s">
        <v>119</v>
      </c>
      <c r="E34" s="66" t="s">
        <v>136</v>
      </c>
      <c r="F34" s="84"/>
      <c r="G34" s="84"/>
      <c r="H34" s="84"/>
      <c r="I34" s="67"/>
      <c r="M34" s="29"/>
    </row>
    <row r="36" spans="1:15" ht="33.75" x14ac:dyDescent="0.45">
      <c r="A36" s="85" t="s">
        <v>92</v>
      </c>
      <c r="B36" s="86"/>
      <c r="C36" s="86"/>
      <c r="D36" s="86"/>
      <c r="E36" s="86"/>
      <c r="F36" s="86"/>
      <c r="G36" s="86"/>
      <c r="H36" s="86"/>
      <c r="I36" s="87"/>
    </row>
    <row r="37" spans="1:15" ht="63" x14ac:dyDescent="0.45">
      <c r="A37" s="50" t="s">
        <v>93</v>
      </c>
      <c r="B37" s="51"/>
      <c r="C37" s="16" t="s">
        <v>94</v>
      </c>
      <c r="D37" s="17" t="s">
        <v>95</v>
      </c>
      <c r="E37" s="88" t="s">
        <v>96</v>
      </c>
      <c r="F37" s="88"/>
      <c r="G37" s="88"/>
      <c r="H37" s="88" t="s">
        <v>97</v>
      </c>
      <c r="I37" s="88"/>
    </row>
    <row r="38" spans="1:15" ht="36" customHeight="1" x14ac:dyDescent="0.45">
      <c r="A38" s="64">
        <v>45615</v>
      </c>
      <c r="B38" s="65"/>
      <c r="C38" s="21"/>
      <c r="D38" s="22"/>
      <c r="E38" s="75" t="s">
        <v>137</v>
      </c>
      <c r="F38" s="75"/>
      <c r="G38" s="75"/>
      <c r="H38" s="23"/>
      <c r="I38" s="24"/>
      <c r="N38" s="29"/>
      <c r="O38" s="29"/>
    </row>
    <row r="39" spans="1:15" ht="21" x14ac:dyDescent="0.45">
      <c r="A39" s="76" t="s">
        <v>98</v>
      </c>
      <c r="B39" s="76"/>
      <c r="C39" s="77"/>
      <c r="D39" s="77"/>
      <c r="E39" s="77"/>
      <c r="F39" s="77"/>
      <c r="G39" s="77"/>
      <c r="H39" s="77"/>
      <c r="I39" s="77"/>
    </row>
    <row r="40" spans="1:15" ht="21" x14ac:dyDescent="0.45">
      <c r="A40" s="78" t="s">
        <v>99</v>
      </c>
      <c r="B40" s="79"/>
      <c r="C40" s="80">
        <v>45620</v>
      </c>
      <c r="D40" s="80"/>
      <c r="E40" s="80"/>
      <c r="F40" s="80"/>
      <c r="G40" s="80"/>
      <c r="H40" s="80"/>
      <c r="I40" s="80"/>
    </row>
    <row r="41" spans="1:15" ht="21" x14ac:dyDescent="0.45">
      <c r="A41" s="81" t="s">
        <v>100</v>
      </c>
      <c r="B41" s="82"/>
      <c r="C41" s="81" t="s">
        <v>101</v>
      </c>
      <c r="D41" s="82"/>
      <c r="E41" s="82"/>
      <c r="F41" s="82"/>
      <c r="G41" s="82"/>
      <c r="H41" s="83"/>
      <c r="I41" s="25" t="s">
        <v>102</v>
      </c>
    </row>
    <row r="42" spans="1:15" ht="21" x14ac:dyDescent="0.45">
      <c r="A42" s="50">
        <v>1</v>
      </c>
      <c r="B42" s="51"/>
      <c r="C42" s="75" t="s">
        <v>125</v>
      </c>
      <c r="D42" s="75"/>
      <c r="E42" s="75"/>
      <c r="F42" s="75"/>
      <c r="G42" s="75"/>
      <c r="H42" s="75"/>
      <c r="I42" s="21">
        <v>500000</v>
      </c>
    </row>
    <row r="43" spans="1:15" ht="21" x14ac:dyDescent="0.45">
      <c r="A43" s="50">
        <v>2</v>
      </c>
      <c r="B43" s="51"/>
      <c r="C43" s="75" t="s">
        <v>138</v>
      </c>
      <c r="D43" s="75"/>
      <c r="E43" s="75"/>
      <c r="F43" s="75"/>
      <c r="G43" s="75"/>
      <c r="H43" s="75"/>
      <c r="I43" s="21">
        <v>450000</v>
      </c>
    </row>
    <row r="44" spans="1:15" ht="21" x14ac:dyDescent="0.45">
      <c r="A44" s="68"/>
      <c r="B44" s="68"/>
      <c r="C44"/>
      <c r="D44" s="26"/>
      <c r="E44" s="72" t="s">
        <v>103</v>
      </c>
      <c r="F44" s="72"/>
      <c r="G44" s="73">
        <v>950000</v>
      </c>
      <c r="H44" s="73"/>
      <c r="I44" s="74"/>
    </row>
  </sheetData>
  <sheetProtection sheet="1" objects="1" scenarios="1"/>
  <dataConsolidate link="1"/>
  <mergeCells count="57">
    <mergeCell ref="A42:B42"/>
    <mergeCell ref="C42:H42"/>
    <mergeCell ref="A43:B43"/>
    <mergeCell ref="C43:H43"/>
    <mergeCell ref="A44:B44"/>
    <mergeCell ref="E44:F44"/>
    <mergeCell ref="G44:I44"/>
    <mergeCell ref="A39:B39"/>
    <mergeCell ref="C39:I39"/>
    <mergeCell ref="A40:B40"/>
    <mergeCell ref="C40:I40"/>
    <mergeCell ref="A41:B41"/>
    <mergeCell ref="C41:H41"/>
    <mergeCell ref="A36:I36"/>
    <mergeCell ref="A37:B37"/>
    <mergeCell ref="E37:G37"/>
    <mergeCell ref="H37:I37"/>
    <mergeCell ref="A38:B38"/>
    <mergeCell ref="E38:G38"/>
    <mergeCell ref="A32:I32"/>
    <mergeCell ref="A33:B33"/>
    <mergeCell ref="E33:I33"/>
    <mergeCell ref="A34:B34"/>
    <mergeCell ref="E34:I34"/>
    <mergeCell ref="B27:C27"/>
    <mergeCell ref="B20:C20"/>
    <mergeCell ref="B21:C21"/>
    <mergeCell ref="B22:C22"/>
    <mergeCell ref="B23:C23"/>
    <mergeCell ref="B24:C24"/>
    <mergeCell ref="B25:C25"/>
    <mergeCell ref="H7:I7"/>
    <mergeCell ref="A8:B8"/>
    <mergeCell ref="B26:C26"/>
    <mergeCell ref="B14:C14"/>
    <mergeCell ref="B15:C15"/>
    <mergeCell ref="B16:C16"/>
    <mergeCell ref="B17:C17"/>
    <mergeCell ref="B18:C18"/>
    <mergeCell ref="C8:D8"/>
    <mergeCell ref="H8:I8"/>
    <mergeCell ref="A30:I30"/>
    <mergeCell ref="A2:I2"/>
    <mergeCell ref="A3:B3"/>
    <mergeCell ref="C3:G3"/>
    <mergeCell ref="A4:B4"/>
    <mergeCell ref="B5:E5"/>
    <mergeCell ref="G5:I5"/>
    <mergeCell ref="B19:C19"/>
    <mergeCell ref="A6:B6"/>
    <mergeCell ref="B10:D10"/>
    <mergeCell ref="E10:H10"/>
    <mergeCell ref="B11:C11"/>
    <mergeCell ref="B12:C12"/>
    <mergeCell ref="B13:C13"/>
    <mergeCell ref="A7:B7"/>
    <mergeCell ref="C7:D7"/>
  </mergeCells>
  <conditionalFormatting sqref="E11">
    <cfRule type="iconSet" priority="7">
      <iconSet>
        <cfvo type="percent" val="0"/>
        <cfvo type="num" val="100" gte="0"/>
        <cfvo type="num" val="501" gte="0"/>
      </iconSet>
    </cfRule>
  </conditionalFormatting>
  <conditionalFormatting sqref="I45:I1048576 I9 I20:I28 I31 I35">
    <cfRule type="iconSet" priority="8">
      <iconSet>
        <cfvo type="percent" val="0"/>
        <cfvo type="num" val="100" gte="0"/>
        <cfvo type="num" val="501" gte="0"/>
      </iconSet>
    </cfRule>
  </conditionalFormatting>
  <conditionalFormatting sqref="H12:H27">
    <cfRule type="iconSet" priority="6">
      <iconSet iconSet="3Symbols2">
        <cfvo type="percent" val="0"/>
        <cfvo type="num" val="100" gte="0"/>
        <cfvo type="num" val="200" gte="0"/>
      </iconSet>
    </cfRule>
  </conditionalFormatting>
  <conditionalFormatting sqref="I32:I34">
    <cfRule type="iconSet" priority="5">
      <iconSet>
        <cfvo type="percent" val="0"/>
        <cfvo type="num" val="100" gte="0"/>
        <cfvo type="num" val="501" gte="0"/>
      </iconSet>
    </cfRule>
  </conditionalFormatting>
  <conditionalFormatting sqref="I36:I41">
    <cfRule type="iconSet" priority="4">
      <iconSet>
        <cfvo type="percent" val="0"/>
        <cfvo type="num" val="100" gte="0"/>
        <cfvo type="num" val="501" gte="0"/>
      </iconSet>
    </cfRule>
  </conditionalFormatting>
  <conditionalFormatting sqref="I42">
    <cfRule type="iconSet" priority="3">
      <iconSet>
        <cfvo type="percent" val="0"/>
        <cfvo type="num" val="100" gte="0"/>
        <cfvo type="num" val="501" gte="0"/>
      </iconSet>
    </cfRule>
  </conditionalFormatting>
  <conditionalFormatting sqref="I43">
    <cfRule type="iconSet" priority="2">
      <iconSet>
        <cfvo type="percent" val="0"/>
        <cfvo type="num" val="100" gte="0"/>
        <cfvo type="num" val="501" gte="0"/>
      </iconSet>
    </cfRule>
  </conditionalFormatting>
  <conditionalFormatting sqref="I44">
    <cfRule type="iconSet" priority="1">
      <iconSet>
        <cfvo type="percent" val="0"/>
        <cfvo type="num" val="100" gte="0"/>
        <cfvo type="num" val="501" gte="0"/>
      </iconSet>
    </cfRule>
  </conditionalFormatting>
  <pageMargins left="0.23622047244094491" right="0.15748031496062992" top="0.55118110236220474" bottom="0.74803149606299213" header="0.31496062992125984" footer="0.31496062992125984"/>
  <pageSetup paperSize="9" orientation="portrait" r:id="rId1"/>
  <rowBreaks count="1" manualBreakCount="1">
    <brk id="28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24"/>
  <sheetViews>
    <sheetView rightToLeft="1" view="pageLayout" zoomScaleNormal="100" workbookViewId="0">
      <selection sqref="A1:I21"/>
    </sheetView>
  </sheetViews>
  <sheetFormatPr defaultColWidth="9" defaultRowHeight="18" x14ac:dyDescent="0.45"/>
  <cols>
    <col min="1" max="1" width="9.375" style="1" customWidth="1"/>
    <col min="2" max="2" width="9.875" style="1" customWidth="1"/>
    <col min="3" max="4" width="9.375" style="1" customWidth="1"/>
    <col min="5" max="5" width="10" style="1" customWidth="1"/>
    <col min="6" max="6" width="10.25" style="1" customWidth="1"/>
    <col min="7" max="7" width="9.375" style="1" customWidth="1"/>
    <col min="8" max="8" width="10.75" style="1" customWidth="1"/>
    <col min="9" max="9" width="11" style="1" customWidth="1"/>
    <col min="10" max="10" width="5.375" style="1" customWidth="1"/>
    <col min="11" max="16384" width="9" style="1"/>
  </cols>
  <sheetData>
    <row r="1" spans="1:14" ht="12" customHeight="1" x14ac:dyDescent="0.45"/>
    <row r="2" spans="1:14" ht="26.25" customHeight="1" x14ac:dyDescent="0.45">
      <c r="A2" s="45" t="s">
        <v>19</v>
      </c>
      <c r="B2" s="45"/>
      <c r="C2" s="45"/>
      <c r="D2" s="45"/>
      <c r="E2" s="45"/>
      <c r="F2" s="45"/>
      <c r="G2" s="45"/>
      <c r="H2" s="45"/>
      <c r="I2" s="45"/>
    </row>
    <row r="3" spans="1:14" ht="39" customHeight="1" x14ac:dyDescent="0.45">
      <c r="A3" s="46" t="s">
        <v>20</v>
      </c>
      <c r="B3" s="46"/>
      <c r="C3" s="47" t="s">
        <v>15</v>
      </c>
      <c r="D3" s="47"/>
      <c r="E3" s="47"/>
      <c r="F3" s="47"/>
      <c r="G3" s="47"/>
      <c r="H3" s="13" t="s">
        <v>0</v>
      </c>
      <c r="I3" s="13" t="s">
        <v>1</v>
      </c>
    </row>
    <row r="4" spans="1:14" ht="26.25" customHeight="1" x14ac:dyDescent="0.45">
      <c r="A4" s="48">
        <v>1</v>
      </c>
      <c r="B4" s="48"/>
      <c r="C4" s="2" t="s">
        <v>21</v>
      </c>
      <c r="D4" s="90">
        <v>21</v>
      </c>
      <c r="E4" s="91"/>
      <c r="F4" s="92">
        <v>12221</v>
      </c>
      <c r="G4" s="93"/>
      <c r="H4" s="4" t="s">
        <v>46</v>
      </c>
      <c r="I4" s="4" t="s">
        <v>46</v>
      </c>
    </row>
    <row r="5" spans="1:14" ht="25.5" customHeight="1" x14ac:dyDescent="0.45">
      <c r="A5" s="14" t="s">
        <v>2</v>
      </c>
      <c r="B5" s="58">
        <v>1</v>
      </c>
      <c r="C5" s="58"/>
      <c r="D5" s="58"/>
      <c r="E5" s="58"/>
      <c r="F5" s="14" t="s">
        <v>22</v>
      </c>
      <c r="G5" s="58">
        <v>1</v>
      </c>
      <c r="H5" s="58"/>
      <c r="I5" s="58"/>
    </row>
    <row r="6" spans="1:14" ht="38.25" customHeight="1" x14ac:dyDescent="0.45">
      <c r="A6" s="38" t="s">
        <v>3</v>
      </c>
      <c r="B6" s="38"/>
      <c r="C6" s="14">
        <v>1</v>
      </c>
      <c r="D6" s="13" t="s">
        <v>4</v>
      </c>
      <c r="E6" s="13">
        <v>1</v>
      </c>
      <c r="F6" s="13" t="s">
        <v>23</v>
      </c>
      <c r="G6" s="13"/>
      <c r="H6" s="13" t="s">
        <v>18</v>
      </c>
      <c r="I6" s="15">
        <v>44404</v>
      </c>
    </row>
    <row r="7" spans="1:14" ht="38.25" customHeight="1" x14ac:dyDescent="0.45">
      <c r="A7" s="50" t="s">
        <v>6</v>
      </c>
      <c r="B7" s="51"/>
      <c r="C7" s="50" t="s">
        <v>12</v>
      </c>
      <c r="D7" s="51"/>
      <c r="E7" s="14" t="s">
        <v>8</v>
      </c>
      <c r="F7" s="13" t="s">
        <v>105</v>
      </c>
      <c r="G7" s="13" t="s">
        <v>14</v>
      </c>
      <c r="H7" s="50" t="s">
        <v>13</v>
      </c>
      <c r="I7" s="51"/>
      <c r="J7" s="7"/>
      <c r="K7" s="5"/>
      <c r="L7" s="5"/>
      <c r="M7" s="5"/>
      <c r="N7" s="5"/>
    </row>
    <row r="8" spans="1:14" ht="38.25" customHeight="1" x14ac:dyDescent="0.45">
      <c r="A8" s="50"/>
      <c r="B8" s="51"/>
      <c r="C8" s="35"/>
      <c r="D8" s="37"/>
      <c r="E8" s="13"/>
      <c r="F8" s="13"/>
      <c r="G8" s="13"/>
      <c r="H8" s="50"/>
      <c r="I8" s="51"/>
    </row>
    <row r="9" spans="1:14" ht="23.25" customHeight="1" x14ac:dyDescent="0.45">
      <c r="B9" s="5"/>
      <c r="C9" s="5"/>
      <c r="D9" s="6"/>
      <c r="E9" s="6"/>
      <c r="F9" s="6"/>
      <c r="G9" s="6"/>
      <c r="H9" s="7"/>
      <c r="I9" s="7"/>
    </row>
    <row r="10" spans="1:14" s="9" customFormat="1" ht="42" customHeight="1" x14ac:dyDescent="0.45">
      <c r="A10" s="1"/>
      <c r="B10" s="39" t="s">
        <v>24</v>
      </c>
      <c r="C10" s="40"/>
      <c r="D10" s="41"/>
      <c r="E10" s="42">
        <f>Kilometrage!B4</f>
        <v>11000</v>
      </c>
      <c r="F10" s="42"/>
      <c r="G10" s="42"/>
      <c r="H10" s="42"/>
      <c r="I10" s="1"/>
    </row>
    <row r="11" spans="1:14" s="9" customFormat="1" ht="58.5" customHeight="1" x14ac:dyDescent="0.45">
      <c r="A11" s="1"/>
      <c r="B11" s="43" t="s">
        <v>25</v>
      </c>
      <c r="C11" s="44"/>
      <c r="D11" s="8" t="s">
        <v>5</v>
      </c>
      <c r="E11" s="8" t="s">
        <v>26</v>
      </c>
      <c r="F11" s="8" t="s">
        <v>27</v>
      </c>
      <c r="G11" s="8" t="s">
        <v>28</v>
      </c>
      <c r="H11" s="8" t="s">
        <v>29</v>
      </c>
      <c r="I11" s="1"/>
    </row>
    <row r="12" spans="1:14" s="9" customFormat="1" ht="25.5" customHeight="1" x14ac:dyDescent="0.2">
      <c r="B12" s="33" t="s">
        <v>6</v>
      </c>
      <c r="C12" s="34"/>
      <c r="D12" s="10">
        <v>7000</v>
      </c>
      <c r="E12" s="10">
        <v>11000</v>
      </c>
      <c r="F12" s="10">
        <f>E10</f>
        <v>11000</v>
      </c>
      <c r="G12" s="10">
        <f>F12-E12</f>
        <v>0</v>
      </c>
      <c r="H12" s="10">
        <f>D12-G12</f>
        <v>7000</v>
      </c>
    </row>
    <row r="13" spans="1:14" s="9" customFormat="1" ht="25.5" customHeight="1" x14ac:dyDescent="0.2">
      <c r="B13" s="33" t="s">
        <v>30</v>
      </c>
      <c r="C13" s="34"/>
      <c r="D13" s="10">
        <v>7000</v>
      </c>
      <c r="E13" s="10">
        <v>11000</v>
      </c>
      <c r="F13" s="10">
        <f>E10</f>
        <v>11000</v>
      </c>
      <c r="G13" s="10">
        <f t="shared" ref="G13:G21" si="0">F13-E13</f>
        <v>0</v>
      </c>
      <c r="H13" s="10">
        <f t="shared" ref="H13:H21" si="1">D13-G13</f>
        <v>7000</v>
      </c>
    </row>
    <row r="14" spans="1:14" s="9" customFormat="1" ht="25.5" customHeight="1" x14ac:dyDescent="0.2">
      <c r="B14" s="33" t="s">
        <v>8</v>
      </c>
      <c r="C14" s="34"/>
      <c r="D14" s="10">
        <v>40000</v>
      </c>
      <c r="E14" s="10">
        <v>111</v>
      </c>
      <c r="F14" s="10">
        <f>E10</f>
        <v>11000</v>
      </c>
      <c r="G14" s="10">
        <f t="shared" si="0"/>
        <v>10889</v>
      </c>
      <c r="H14" s="10">
        <f t="shared" si="1"/>
        <v>29111</v>
      </c>
    </row>
    <row r="15" spans="1:14" s="9" customFormat="1" ht="25.5" customHeight="1" x14ac:dyDescent="0.2">
      <c r="B15" s="32" t="s">
        <v>39</v>
      </c>
      <c r="C15" s="32"/>
      <c r="D15" s="10">
        <v>75000</v>
      </c>
      <c r="E15" s="10">
        <v>3000</v>
      </c>
      <c r="F15" s="10">
        <f>E10</f>
        <v>11000</v>
      </c>
      <c r="G15" s="10">
        <f t="shared" si="0"/>
        <v>8000</v>
      </c>
      <c r="H15" s="10">
        <f t="shared" si="1"/>
        <v>67000</v>
      </c>
    </row>
    <row r="16" spans="1:14" s="9" customFormat="1" ht="25.5" customHeight="1" x14ac:dyDescent="0.2">
      <c r="B16" s="32" t="s">
        <v>34</v>
      </c>
      <c r="C16" s="32"/>
      <c r="D16" s="10">
        <v>75000</v>
      </c>
      <c r="E16" s="10">
        <v>111</v>
      </c>
      <c r="F16" s="10">
        <f>E10</f>
        <v>11000</v>
      </c>
      <c r="G16" s="10">
        <f t="shared" si="0"/>
        <v>10889</v>
      </c>
      <c r="H16" s="10">
        <f t="shared" si="1"/>
        <v>64111</v>
      </c>
    </row>
    <row r="17" spans="1:9" s="9" customFormat="1" ht="25.5" customHeight="1" x14ac:dyDescent="0.2">
      <c r="B17" s="32" t="s">
        <v>35</v>
      </c>
      <c r="C17" s="32"/>
      <c r="D17" s="10">
        <v>75000</v>
      </c>
      <c r="E17" s="10">
        <v>111</v>
      </c>
      <c r="F17" s="10">
        <f>E10</f>
        <v>11000</v>
      </c>
      <c r="G17" s="10">
        <f t="shared" si="0"/>
        <v>10889</v>
      </c>
      <c r="H17" s="10">
        <f t="shared" si="1"/>
        <v>64111</v>
      </c>
    </row>
    <row r="18" spans="1:9" s="9" customFormat="1" ht="25.5" customHeight="1" x14ac:dyDescent="0.2">
      <c r="B18" s="32" t="s">
        <v>9</v>
      </c>
      <c r="C18" s="32"/>
      <c r="D18" s="10">
        <v>25000</v>
      </c>
      <c r="E18" s="10">
        <v>111</v>
      </c>
      <c r="F18" s="10">
        <f>E10</f>
        <v>11000</v>
      </c>
      <c r="G18" s="10">
        <f t="shared" si="0"/>
        <v>10889</v>
      </c>
      <c r="H18" s="10">
        <f t="shared" si="1"/>
        <v>14111</v>
      </c>
    </row>
    <row r="19" spans="1:9" ht="25.5" customHeight="1" x14ac:dyDescent="0.45">
      <c r="A19" s="9"/>
      <c r="B19" s="33" t="s">
        <v>10</v>
      </c>
      <c r="C19" s="34"/>
      <c r="D19" s="10">
        <v>80000</v>
      </c>
      <c r="E19" s="10">
        <v>111</v>
      </c>
      <c r="F19" s="10">
        <f>E10</f>
        <v>11000</v>
      </c>
      <c r="G19" s="10">
        <f t="shared" si="0"/>
        <v>10889</v>
      </c>
      <c r="H19" s="10">
        <f t="shared" si="1"/>
        <v>69111</v>
      </c>
      <c r="I19" s="9"/>
    </row>
    <row r="20" spans="1:9" ht="19.5" x14ac:dyDescent="0.45">
      <c r="A20" s="9"/>
      <c r="B20" s="32" t="s">
        <v>13</v>
      </c>
      <c r="C20" s="32"/>
      <c r="D20" s="10">
        <v>80000</v>
      </c>
      <c r="E20" s="10">
        <v>111</v>
      </c>
      <c r="F20" s="10">
        <f>E10</f>
        <v>11000</v>
      </c>
      <c r="G20" s="10">
        <f t="shared" si="0"/>
        <v>10889</v>
      </c>
      <c r="H20" s="10">
        <f t="shared" si="1"/>
        <v>69111</v>
      </c>
      <c r="I20" s="9"/>
    </row>
    <row r="21" spans="1:9" ht="19.5" x14ac:dyDescent="0.45">
      <c r="B21" s="32" t="s">
        <v>14</v>
      </c>
      <c r="C21" s="32"/>
      <c r="D21" s="10">
        <v>60000</v>
      </c>
      <c r="E21" s="10">
        <v>111</v>
      </c>
      <c r="F21" s="10">
        <f>E10</f>
        <v>11000</v>
      </c>
      <c r="G21" s="10">
        <f t="shared" si="0"/>
        <v>10889</v>
      </c>
      <c r="H21" s="10">
        <f t="shared" si="1"/>
        <v>49111</v>
      </c>
    </row>
    <row r="22" spans="1:9" ht="8.4499999999999993" customHeight="1" x14ac:dyDescent="0.45"/>
    <row r="23" spans="1:9" ht="8.4499999999999993" customHeight="1" x14ac:dyDescent="0.45">
      <c r="A23"/>
      <c r="B23"/>
      <c r="C23"/>
      <c r="D23"/>
      <c r="E23"/>
      <c r="F23"/>
      <c r="G23"/>
      <c r="H23"/>
      <c r="I23"/>
    </row>
    <row r="24" spans="1:9" ht="25.5" x14ac:dyDescent="0.45">
      <c r="A24" s="89" t="s">
        <v>104</v>
      </c>
      <c r="B24" s="89"/>
      <c r="C24" s="89"/>
      <c r="D24" s="89"/>
      <c r="E24" s="89"/>
      <c r="F24" s="89"/>
      <c r="G24" s="89"/>
      <c r="H24" s="89"/>
      <c r="I24" s="89"/>
    </row>
  </sheetData>
  <sheetProtection sheet="1" objects="1" scenarios="1"/>
  <mergeCells count="29">
    <mergeCell ref="B16:C16"/>
    <mergeCell ref="B17:C17"/>
    <mergeCell ref="B18:C18"/>
    <mergeCell ref="B19:C19"/>
    <mergeCell ref="B14:C14"/>
    <mergeCell ref="A2:I2"/>
    <mergeCell ref="A3:B3"/>
    <mergeCell ref="C3:G3"/>
    <mergeCell ref="A4:B4"/>
    <mergeCell ref="B5:E5"/>
    <mergeCell ref="G5:I5"/>
    <mergeCell ref="D4:E4"/>
    <mergeCell ref="F4:G4"/>
    <mergeCell ref="A24:I24"/>
    <mergeCell ref="B15:C15"/>
    <mergeCell ref="A6:B6"/>
    <mergeCell ref="B10:D10"/>
    <mergeCell ref="E10:H10"/>
    <mergeCell ref="B11:C11"/>
    <mergeCell ref="B12:C12"/>
    <mergeCell ref="B13:C13"/>
    <mergeCell ref="A7:B7"/>
    <mergeCell ref="C7:D7"/>
    <mergeCell ref="H7:I7"/>
    <mergeCell ref="A8:B8"/>
    <mergeCell ref="C8:D8"/>
    <mergeCell ref="H8:I8"/>
    <mergeCell ref="B20:C20"/>
    <mergeCell ref="B21:C21"/>
  </mergeCells>
  <conditionalFormatting sqref="E11">
    <cfRule type="iconSet" priority="2">
      <iconSet>
        <cfvo type="percent" val="0"/>
        <cfvo type="num" val="100" gte="0"/>
        <cfvo type="num" val="501" gte="0"/>
      </iconSet>
    </cfRule>
  </conditionalFormatting>
  <conditionalFormatting sqref="I16:I22 I9 I25:I1048576">
    <cfRule type="iconSet" priority="3">
      <iconSet>
        <cfvo type="percent" val="0"/>
        <cfvo type="num" val="100" gte="0"/>
        <cfvo type="num" val="501" gte="0"/>
      </iconSet>
    </cfRule>
  </conditionalFormatting>
  <conditionalFormatting sqref="H12:H21">
    <cfRule type="iconSet" priority="54">
      <iconSet iconSet="3Symbols2">
        <cfvo type="percent" val="0"/>
        <cfvo type="num" val="100" gte="0"/>
        <cfvo type="num" val="200" gte="0"/>
      </iconSet>
    </cfRule>
  </conditionalFormatting>
  <printOptions horizontalCentered="1"/>
  <pageMargins left="0.27559055118110232" right="0.29527559055118108" top="0.55118110236220463" bottom="0.74803149606299213" header="0.31496062992125989" footer="0.31496062992125989"/>
  <pageSetup paperSize="9" orientation="portrait" r:id="rId1"/>
  <rowBreaks count="1" manualBreakCount="1">
    <brk id="22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24"/>
  <sheetViews>
    <sheetView rightToLeft="1" view="pageLayout" topLeftCell="A7" zoomScaleNormal="100" workbookViewId="0">
      <selection activeCell="C8" sqref="C8:D8"/>
    </sheetView>
  </sheetViews>
  <sheetFormatPr defaultColWidth="9" defaultRowHeight="18" x14ac:dyDescent="0.45"/>
  <cols>
    <col min="1" max="1" width="9.375" style="1" customWidth="1"/>
    <col min="2" max="2" width="9.875" style="1" customWidth="1"/>
    <col min="3" max="4" width="9.375" style="1" customWidth="1"/>
    <col min="5" max="5" width="10" style="1" customWidth="1"/>
    <col min="6" max="6" width="10.25" style="1" customWidth="1"/>
    <col min="7" max="7" width="9.375" style="1" customWidth="1"/>
    <col min="8" max="8" width="10.75" style="1" customWidth="1"/>
    <col min="9" max="9" width="11" style="1" customWidth="1"/>
    <col min="10" max="10" width="5.375" style="1" customWidth="1"/>
    <col min="11" max="16384" width="9" style="1"/>
  </cols>
  <sheetData>
    <row r="1" spans="1:14" ht="12" customHeight="1" x14ac:dyDescent="0.45"/>
    <row r="2" spans="1:14" ht="26.25" customHeight="1" x14ac:dyDescent="0.45">
      <c r="A2" s="45" t="s">
        <v>19</v>
      </c>
      <c r="B2" s="45"/>
      <c r="C2" s="45"/>
      <c r="D2" s="45"/>
      <c r="E2" s="45"/>
      <c r="F2" s="45"/>
      <c r="G2" s="45"/>
      <c r="H2" s="45"/>
      <c r="I2" s="45"/>
    </row>
    <row r="3" spans="1:14" ht="39" customHeight="1" x14ac:dyDescent="0.45">
      <c r="A3" s="46" t="s">
        <v>20</v>
      </c>
      <c r="B3" s="46"/>
      <c r="C3" s="47" t="s">
        <v>15</v>
      </c>
      <c r="D3" s="47"/>
      <c r="E3" s="47"/>
      <c r="F3" s="47"/>
      <c r="G3" s="47"/>
      <c r="H3" s="13" t="s">
        <v>0</v>
      </c>
      <c r="I3" s="13" t="s">
        <v>1</v>
      </c>
    </row>
    <row r="4" spans="1:14" ht="26.25" customHeight="1" x14ac:dyDescent="0.45">
      <c r="A4" s="48" t="s">
        <v>49</v>
      </c>
      <c r="B4" s="48"/>
      <c r="C4" s="2" t="s">
        <v>21</v>
      </c>
      <c r="D4" s="90">
        <v>137</v>
      </c>
      <c r="E4" s="91"/>
      <c r="F4" s="92">
        <v>36911</v>
      </c>
      <c r="G4" s="93"/>
      <c r="H4" s="4" t="s">
        <v>46</v>
      </c>
      <c r="I4" s="4" t="s">
        <v>46</v>
      </c>
    </row>
    <row r="5" spans="1:14" ht="25.5" customHeight="1" x14ac:dyDescent="0.45">
      <c r="A5" s="14" t="s">
        <v>2</v>
      </c>
      <c r="B5" s="58" t="s">
        <v>50</v>
      </c>
      <c r="C5" s="58"/>
      <c r="D5" s="58"/>
      <c r="E5" s="58"/>
      <c r="F5" s="14" t="s">
        <v>22</v>
      </c>
      <c r="G5" s="58">
        <v>1</v>
      </c>
      <c r="H5" s="58"/>
      <c r="I5" s="58"/>
    </row>
    <row r="6" spans="1:14" ht="38.25" customHeight="1" x14ac:dyDescent="0.45">
      <c r="A6" s="38" t="s">
        <v>3</v>
      </c>
      <c r="B6" s="38"/>
      <c r="C6" s="14">
        <v>1397</v>
      </c>
      <c r="D6" s="13" t="s">
        <v>4</v>
      </c>
      <c r="E6" s="13" t="s">
        <v>42</v>
      </c>
      <c r="F6" s="13" t="s">
        <v>23</v>
      </c>
      <c r="G6" s="13"/>
      <c r="H6" s="13" t="s">
        <v>18</v>
      </c>
      <c r="I6" s="15">
        <v>44380</v>
      </c>
    </row>
    <row r="7" spans="1:14" ht="38.25" customHeight="1" x14ac:dyDescent="0.45">
      <c r="A7" s="50" t="s">
        <v>6</v>
      </c>
      <c r="B7" s="51"/>
      <c r="C7" s="50" t="s">
        <v>12</v>
      </c>
      <c r="D7" s="51"/>
      <c r="E7" s="14" t="s">
        <v>8</v>
      </c>
      <c r="F7" s="13" t="s">
        <v>105</v>
      </c>
      <c r="G7" s="13" t="s">
        <v>14</v>
      </c>
      <c r="H7" s="50" t="s">
        <v>13</v>
      </c>
      <c r="I7" s="51"/>
      <c r="J7" s="7"/>
      <c r="K7" s="5"/>
      <c r="L7" s="5"/>
      <c r="M7" s="5"/>
      <c r="N7" s="5"/>
    </row>
    <row r="8" spans="1:14" ht="38.25" customHeight="1" x14ac:dyDescent="0.45">
      <c r="A8" s="50"/>
      <c r="B8" s="51"/>
      <c r="C8" s="35"/>
      <c r="D8" s="37"/>
      <c r="E8" s="13"/>
      <c r="F8" s="13"/>
      <c r="G8" s="13"/>
      <c r="H8" s="50"/>
      <c r="I8" s="51"/>
    </row>
    <row r="9" spans="1:14" ht="23.25" customHeight="1" x14ac:dyDescent="0.45">
      <c r="B9" s="5"/>
      <c r="C9" s="5"/>
      <c r="D9" s="6"/>
      <c r="E9" s="6"/>
      <c r="F9" s="6"/>
      <c r="G9" s="6"/>
      <c r="H9" s="7"/>
      <c r="I9" s="7"/>
    </row>
    <row r="10" spans="1:14" s="9" customFormat="1" ht="42" customHeight="1" x14ac:dyDescent="0.45">
      <c r="A10" s="1"/>
      <c r="B10" s="39" t="s">
        <v>24</v>
      </c>
      <c r="C10" s="40"/>
      <c r="D10" s="41"/>
      <c r="E10" s="42">
        <f>Kilometrage!B5</f>
        <v>1</v>
      </c>
      <c r="F10" s="42"/>
      <c r="G10" s="42"/>
      <c r="H10" s="42"/>
      <c r="I10" s="1"/>
    </row>
    <row r="11" spans="1:14" s="9" customFormat="1" ht="58.5" customHeight="1" x14ac:dyDescent="0.45">
      <c r="A11" s="1"/>
      <c r="B11" s="43" t="s">
        <v>25</v>
      </c>
      <c r="C11" s="44"/>
      <c r="D11" s="8" t="s">
        <v>5</v>
      </c>
      <c r="E11" s="8" t="s">
        <v>26</v>
      </c>
      <c r="F11" s="8" t="s">
        <v>27</v>
      </c>
      <c r="G11" s="8" t="s">
        <v>28</v>
      </c>
      <c r="H11" s="8" t="s">
        <v>48</v>
      </c>
      <c r="I11" s="1"/>
    </row>
    <row r="12" spans="1:14" s="9" customFormat="1" ht="25.5" customHeight="1" x14ac:dyDescent="0.2">
      <c r="B12" s="33" t="s">
        <v>6</v>
      </c>
      <c r="C12" s="34"/>
      <c r="D12" s="10">
        <v>6000</v>
      </c>
      <c r="E12" s="10">
        <v>1</v>
      </c>
      <c r="F12" s="10">
        <f>E10</f>
        <v>1</v>
      </c>
      <c r="G12" s="10">
        <f>F12-E12</f>
        <v>0</v>
      </c>
      <c r="H12" s="10">
        <f>D12-G12</f>
        <v>6000</v>
      </c>
    </row>
    <row r="13" spans="1:14" s="9" customFormat="1" ht="25.5" customHeight="1" x14ac:dyDescent="0.2">
      <c r="B13" s="33" t="s">
        <v>30</v>
      </c>
      <c r="C13" s="34"/>
      <c r="D13" s="10">
        <v>11000</v>
      </c>
      <c r="E13" s="10">
        <v>1</v>
      </c>
      <c r="F13" s="10">
        <f>E10</f>
        <v>1</v>
      </c>
      <c r="G13" s="10">
        <f t="shared" ref="G13:G21" si="0">F13-E13</f>
        <v>0</v>
      </c>
      <c r="H13" s="10">
        <f t="shared" ref="H13:H21" si="1">D13-G13</f>
        <v>11000</v>
      </c>
    </row>
    <row r="14" spans="1:14" s="9" customFormat="1" ht="25.5" customHeight="1" x14ac:dyDescent="0.2">
      <c r="B14" s="33" t="s">
        <v>8</v>
      </c>
      <c r="C14" s="34"/>
      <c r="D14" s="10">
        <v>40000</v>
      </c>
      <c r="E14" s="10">
        <v>1</v>
      </c>
      <c r="F14" s="10">
        <f>E10</f>
        <v>1</v>
      </c>
      <c r="G14" s="10">
        <f t="shared" si="0"/>
        <v>0</v>
      </c>
      <c r="H14" s="10">
        <f t="shared" si="1"/>
        <v>40000</v>
      </c>
    </row>
    <row r="15" spans="1:14" s="9" customFormat="1" ht="25.5" customHeight="1" x14ac:dyDescent="0.2">
      <c r="B15" s="32" t="s">
        <v>39</v>
      </c>
      <c r="C15" s="32"/>
      <c r="D15" s="10">
        <v>75000</v>
      </c>
      <c r="E15" s="10">
        <v>1</v>
      </c>
      <c r="F15" s="10">
        <f>E10</f>
        <v>1</v>
      </c>
      <c r="G15" s="10">
        <f t="shared" si="0"/>
        <v>0</v>
      </c>
      <c r="H15" s="10">
        <f t="shared" si="1"/>
        <v>75000</v>
      </c>
    </row>
    <row r="16" spans="1:14" s="9" customFormat="1" ht="25.5" customHeight="1" x14ac:dyDescent="0.2">
      <c r="B16" s="32" t="s">
        <v>34</v>
      </c>
      <c r="C16" s="32"/>
      <c r="D16" s="10">
        <v>75000</v>
      </c>
      <c r="E16" s="10">
        <v>1</v>
      </c>
      <c r="F16" s="10">
        <f>E10</f>
        <v>1</v>
      </c>
      <c r="G16" s="10">
        <f t="shared" si="0"/>
        <v>0</v>
      </c>
      <c r="H16" s="10">
        <f t="shared" si="1"/>
        <v>75000</v>
      </c>
    </row>
    <row r="17" spans="1:9" s="9" customFormat="1" ht="25.5" customHeight="1" x14ac:dyDescent="0.2">
      <c r="B17" s="32" t="s">
        <v>35</v>
      </c>
      <c r="C17" s="32"/>
      <c r="D17" s="10">
        <v>75000</v>
      </c>
      <c r="E17" s="10">
        <v>1</v>
      </c>
      <c r="F17" s="10">
        <f>E10</f>
        <v>1</v>
      </c>
      <c r="G17" s="10">
        <f t="shared" si="0"/>
        <v>0</v>
      </c>
      <c r="H17" s="10">
        <f t="shared" si="1"/>
        <v>75000</v>
      </c>
    </row>
    <row r="18" spans="1:9" s="9" customFormat="1" ht="25.5" customHeight="1" x14ac:dyDescent="0.2">
      <c r="B18" s="32" t="s">
        <v>9</v>
      </c>
      <c r="C18" s="32"/>
      <c r="D18" s="10">
        <v>25000</v>
      </c>
      <c r="E18" s="10">
        <v>1</v>
      </c>
      <c r="F18" s="10">
        <f>E10</f>
        <v>1</v>
      </c>
      <c r="G18" s="10">
        <f t="shared" si="0"/>
        <v>0</v>
      </c>
      <c r="H18" s="10">
        <f t="shared" si="1"/>
        <v>25000</v>
      </c>
    </row>
    <row r="19" spans="1:9" ht="25.5" customHeight="1" x14ac:dyDescent="0.45">
      <c r="A19" s="9"/>
      <c r="B19" s="33" t="s">
        <v>10</v>
      </c>
      <c r="C19" s="34"/>
      <c r="D19" s="10">
        <v>80000</v>
      </c>
      <c r="E19" s="10">
        <v>1</v>
      </c>
      <c r="F19" s="10">
        <f>E10</f>
        <v>1</v>
      </c>
      <c r="G19" s="10">
        <f t="shared" si="0"/>
        <v>0</v>
      </c>
      <c r="H19" s="10">
        <f t="shared" si="1"/>
        <v>80000</v>
      </c>
      <c r="I19" s="9"/>
    </row>
    <row r="20" spans="1:9" ht="19.5" x14ac:dyDescent="0.45">
      <c r="A20" s="9"/>
      <c r="B20" s="32" t="s">
        <v>13</v>
      </c>
      <c r="C20" s="32"/>
      <c r="D20" s="10">
        <v>80000</v>
      </c>
      <c r="E20" s="10">
        <v>1</v>
      </c>
      <c r="F20" s="10">
        <f>E10</f>
        <v>1</v>
      </c>
      <c r="G20" s="10">
        <f t="shared" si="0"/>
        <v>0</v>
      </c>
      <c r="H20" s="10">
        <f t="shared" si="1"/>
        <v>80000</v>
      </c>
      <c r="I20" s="9"/>
    </row>
    <row r="21" spans="1:9" ht="19.5" x14ac:dyDescent="0.45">
      <c r="B21" s="32" t="s">
        <v>14</v>
      </c>
      <c r="C21" s="32"/>
      <c r="D21" s="10">
        <v>60000</v>
      </c>
      <c r="E21" s="10">
        <v>1</v>
      </c>
      <c r="F21" s="10">
        <f>E10</f>
        <v>1</v>
      </c>
      <c r="G21" s="10">
        <f t="shared" si="0"/>
        <v>0</v>
      </c>
      <c r="H21" s="10">
        <f t="shared" si="1"/>
        <v>60000</v>
      </c>
    </row>
    <row r="22" spans="1:9" ht="8.4499999999999993" customHeight="1" x14ac:dyDescent="0.45"/>
    <row r="23" spans="1:9" ht="8.4499999999999993" customHeight="1" x14ac:dyDescent="0.45">
      <c r="A23"/>
      <c r="B23"/>
      <c r="C23"/>
      <c r="D23"/>
      <c r="E23"/>
      <c r="F23"/>
      <c r="G23"/>
      <c r="H23"/>
      <c r="I23"/>
    </row>
    <row r="24" spans="1:9" ht="25.5" x14ac:dyDescent="0.45">
      <c r="A24" s="89" t="s">
        <v>104</v>
      </c>
      <c r="B24" s="89"/>
      <c r="C24" s="89"/>
      <c r="D24" s="89"/>
      <c r="E24" s="89"/>
      <c r="F24" s="89"/>
      <c r="G24" s="89"/>
      <c r="H24" s="89"/>
      <c r="I24" s="89"/>
    </row>
  </sheetData>
  <sheetProtection sheet="1" objects="1" scenarios="1"/>
  <mergeCells count="29">
    <mergeCell ref="B19:C19"/>
    <mergeCell ref="B14:C14"/>
    <mergeCell ref="B15:C15"/>
    <mergeCell ref="A6:B6"/>
    <mergeCell ref="B10:D10"/>
    <mergeCell ref="B11:C11"/>
    <mergeCell ref="B12:C12"/>
    <mergeCell ref="D4:E4"/>
    <mergeCell ref="F4:G4"/>
    <mergeCell ref="B16:C16"/>
    <mergeCell ref="B17:C17"/>
    <mergeCell ref="B18:C18"/>
    <mergeCell ref="E10:H10"/>
    <mergeCell ref="A24:I24"/>
    <mergeCell ref="B13:C13"/>
    <mergeCell ref="A2:I2"/>
    <mergeCell ref="A3:B3"/>
    <mergeCell ref="C3:G3"/>
    <mergeCell ref="A4:B4"/>
    <mergeCell ref="B5:E5"/>
    <mergeCell ref="G5:I5"/>
    <mergeCell ref="A7:B7"/>
    <mergeCell ref="C7:D7"/>
    <mergeCell ref="H7:I7"/>
    <mergeCell ref="A8:B8"/>
    <mergeCell ref="C8:D8"/>
    <mergeCell ref="H8:I8"/>
    <mergeCell ref="B20:C20"/>
    <mergeCell ref="B21:C21"/>
  </mergeCells>
  <conditionalFormatting sqref="E11">
    <cfRule type="iconSet" priority="2">
      <iconSet>
        <cfvo type="percent" val="0"/>
        <cfvo type="num" val="100" gte="0"/>
        <cfvo type="num" val="501" gte="0"/>
      </iconSet>
    </cfRule>
  </conditionalFormatting>
  <conditionalFormatting sqref="I16:I22 I9 I25:I1048576">
    <cfRule type="iconSet" priority="3">
      <iconSet>
        <cfvo type="percent" val="0"/>
        <cfvo type="num" val="100" gte="0"/>
        <cfvo type="num" val="501" gte="0"/>
      </iconSet>
    </cfRule>
  </conditionalFormatting>
  <conditionalFormatting sqref="H12:H21">
    <cfRule type="iconSet" priority="72">
      <iconSet iconSet="3Symbols2">
        <cfvo type="percent" val="0"/>
        <cfvo type="num" val="100" gte="0"/>
        <cfvo type="num" val="200" gte="0"/>
      </iconSet>
    </cfRule>
  </conditionalFormatting>
  <printOptions horizontalCentered="1"/>
  <pageMargins left="0.27559055118110232" right="0.29527559055118108" top="0.55118110236220463" bottom="0.74803149606299213" header="0.31496062992125989" footer="0.31496062992125989"/>
  <pageSetup paperSize="9" orientation="portrait" r:id="rId1"/>
  <rowBreaks count="1" manualBreakCount="1">
    <brk id="22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24"/>
  <sheetViews>
    <sheetView rightToLeft="1" view="pageLayout" topLeftCell="A4" zoomScaleNormal="100" workbookViewId="0">
      <selection activeCell="B18" sqref="B18:C18"/>
    </sheetView>
  </sheetViews>
  <sheetFormatPr defaultColWidth="9" defaultRowHeight="18" x14ac:dyDescent="0.45"/>
  <cols>
    <col min="1" max="1" width="9.375" style="1" customWidth="1"/>
    <col min="2" max="2" width="9.875" style="1" customWidth="1"/>
    <col min="3" max="4" width="9.375" style="1" customWidth="1"/>
    <col min="5" max="5" width="10" style="1" customWidth="1"/>
    <col min="6" max="6" width="10.25" style="1" customWidth="1"/>
    <col min="7" max="7" width="9.375" style="1" customWidth="1"/>
    <col min="8" max="8" width="10.75" style="1" customWidth="1"/>
    <col min="9" max="9" width="11" style="1" customWidth="1"/>
    <col min="10" max="10" width="5.375" style="1" customWidth="1"/>
    <col min="11" max="16384" width="9" style="1"/>
  </cols>
  <sheetData>
    <row r="1" spans="1:14" ht="12" customHeight="1" x14ac:dyDescent="0.45"/>
    <row r="2" spans="1:14" ht="26.25" customHeight="1" x14ac:dyDescent="0.45">
      <c r="A2" s="45" t="s">
        <v>19</v>
      </c>
      <c r="B2" s="45"/>
      <c r="C2" s="45"/>
      <c r="D2" s="45"/>
      <c r="E2" s="45"/>
      <c r="F2" s="45"/>
      <c r="G2" s="45"/>
      <c r="H2" s="45"/>
      <c r="I2" s="45"/>
    </row>
    <row r="3" spans="1:14" ht="39" customHeight="1" x14ac:dyDescent="0.45">
      <c r="A3" s="46" t="s">
        <v>20</v>
      </c>
      <c r="B3" s="46"/>
      <c r="C3" s="47" t="s">
        <v>15</v>
      </c>
      <c r="D3" s="47"/>
      <c r="E3" s="47"/>
      <c r="F3" s="47"/>
      <c r="G3" s="47"/>
      <c r="H3" s="13" t="s">
        <v>0</v>
      </c>
      <c r="I3" s="13" t="s">
        <v>1</v>
      </c>
    </row>
    <row r="4" spans="1:14" ht="26.25" customHeight="1" x14ac:dyDescent="0.45">
      <c r="A4" s="48" t="s">
        <v>49</v>
      </c>
      <c r="B4" s="48"/>
      <c r="C4" s="2" t="s">
        <v>21</v>
      </c>
      <c r="D4" s="90">
        <v>137</v>
      </c>
      <c r="E4" s="91"/>
      <c r="F4" s="92">
        <v>36929</v>
      </c>
      <c r="G4" s="93"/>
      <c r="H4" s="4" t="s">
        <v>46</v>
      </c>
      <c r="I4" s="4" t="s">
        <v>46</v>
      </c>
    </row>
    <row r="5" spans="1:14" ht="25.5" customHeight="1" x14ac:dyDescent="0.45">
      <c r="A5" s="14" t="s">
        <v>2</v>
      </c>
      <c r="B5" s="58" t="s">
        <v>52</v>
      </c>
      <c r="C5" s="58"/>
      <c r="D5" s="58"/>
      <c r="E5" s="58"/>
      <c r="F5" s="14" t="s">
        <v>22</v>
      </c>
      <c r="G5" s="58">
        <v>1</v>
      </c>
      <c r="H5" s="58"/>
      <c r="I5" s="58"/>
    </row>
    <row r="6" spans="1:14" ht="38.25" customHeight="1" x14ac:dyDescent="0.45">
      <c r="A6" s="38" t="s">
        <v>3</v>
      </c>
      <c r="B6" s="38"/>
      <c r="C6" s="14">
        <v>1397</v>
      </c>
      <c r="D6" s="13" t="s">
        <v>4</v>
      </c>
      <c r="E6" s="13" t="s">
        <v>42</v>
      </c>
      <c r="F6" s="13" t="s">
        <v>23</v>
      </c>
      <c r="G6" s="13"/>
      <c r="H6" s="13" t="s">
        <v>18</v>
      </c>
      <c r="I6" s="15">
        <v>44380</v>
      </c>
    </row>
    <row r="7" spans="1:14" ht="38.25" customHeight="1" x14ac:dyDescent="0.45">
      <c r="A7" s="50" t="s">
        <v>6</v>
      </c>
      <c r="B7" s="51"/>
      <c r="C7" s="50" t="s">
        <v>12</v>
      </c>
      <c r="D7" s="51"/>
      <c r="E7" s="14" t="s">
        <v>8</v>
      </c>
      <c r="F7" s="13" t="s">
        <v>105</v>
      </c>
      <c r="G7" s="13" t="s">
        <v>14</v>
      </c>
      <c r="H7" s="50" t="s">
        <v>13</v>
      </c>
      <c r="I7" s="51"/>
      <c r="J7" s="7"/>
      <c r="K7" s="5"/>
      <c r="L7" s="5"/>
      <c r="M7" s="5"/>
      <c r="N7" s="5"/>
    </row>
    <row r="8" spans="1:14" ht="38.25" customHeight="1" x14ac:dyDescent="0.45">
      <c r="A8" s="50"/>
      <c r="B8" s="51"/>
      <c r="C8" s="35"/>
      <c r="D8" s="37"/>
      <c r="E8" s="13"/>
      <c r="F8" s="13"/>
      <c r="G8" s="13"/>
      <c r="H8" s="50"/>
      <c r="I8" s="51"/>
    </row>
    <row r="9" spans="1:14" ht="23.25" customHeight="1" x14ac:dyDescent="0.45">
      <c r="B9" s="5"/>
      <c r="C9" s="5"/>
      <c r="D9" s="6"/>
      <c r="E9" s="6"/>
      <c r="F9" s="6"/>
      <c r="G9" s="6"/>
      <c r="H9" s="7"/>
      <c r="I9" s="7"/>
    </row>
    <row r="10" spans="1:14" s="9" customFormat="1" ht="42" customHeight="1" x14ac:dyDescent="0.45">
      <c r="A10" s="1"/>
      <c r="B10" s="39" t="s">
        <v>24</v>
      </c>
      <c r="C10" s="40"/>
      <c r="D10" s="41"/>
      <c r="E10" s="42">
        <f>Kilometrage!B6</f>
        <v>1</v>
      </c>
      <c r="F10" s="42"/>
      <c r="G10" s="42"/>
      <c r="H10" s="42"/>
      <c r="I10" s="1"/>
    </row>
    <row r="11" spans="1:14" s="9" customFormat="1" ht="58.5" customHeight="1" x14ac:dyDescent="0.45">
      <c r="A11" s="1"/>
      <c r="B11" s="43" t="s">
        <v>25</v>
      </c>
      <c r="C11" s="44"/>
      <c r="D11" s="8" t="s">
        <v>5</v>
      </c>
      <c r="E11" s="8" t="s">
        <v>26</v>
      </c>
      <c r="F11" s="8" t="s">
        <v>27</v>
      </c>
      <c r="G11" s="8" t="s">
        <v>28</v>
      </c>
      <c r="H11" s="8" t="s">
        <v>48</v>
      </c>
      <c r="I11" s="1"/>
    </row>
    <row r="12" spans="1:14" s="9" customFormat="1" ht="25.5" customHeight="1" x14ac:dyDescent="0.2">
      <c r="B12" s="33" t="s">
        <v>6</v>
      </c>
      <c r="C12" s="34"/>
      <c r="D12" s="10">
        <v>6000</v>
      </c>
      <c r="E12" s="10">
        <v>1</v>
      </c>
      <c r="F12" s="10">
        <f>E10</f>
        <v>1</v>
      </c>
      <c r="G12" s="10">
        <f>F12-E12</f>
        <v>0</v>
      </c>
      <c r="H12" s="10">
        <f>D12-G12</f>
        <v>6000</v>
      </c>
    </row>
    <row r="13" spans="1:14" s="9" customFormat="1" ht="25.5" customHeight="1" x14ac:dyDescent="0.2">
      <c r="B13" s="33" t="s">
        <v>30</v>
      </c>
      <c r="C13" s="34"/>
      <c r="D13" s="10">
        <v>11000</v>
      </c>
      <c r="E13" s="10">
        <v>1</v>
      </c>
      <c r="F13" s="10">
        <f>E10</f>
        <v>1</v>
      </c>
      <c r="G13" s="10">
        <f t="shared" ref="G13:G21" si="0">F13-E13</f>
        <v>0</v>
      </c>
      <c r="H13" s="10">
        <f t="shared" ref="H13:H21" si="1">D13-G13</f>
        <v>11000</v>
      </c>
    </row>
    <row r="14" spans="1:14" s="9" customFormat="1" ht="25.5" customHeight="1" x14ac:dyDescent="0.2">
      <c r="B14" s="33" t="s">
        <v>8</v>
      </c>
      <c r="C14" s="34"/>
      <c r="D14" s="10">
        <v>40000</v>
      </c>
      <c r="E14" s="10">
        <v>1</v>
      </c>
      <c r="F14" s="10">
        <f>E10</f>
        <v>1</v>
      </c>
      <c r="G14" s="10">
        <f t="shared" si="0"/>
        <v>0</v>
      </c>
      <c r="H14" s="10">
        <f t="shared" si="1"/>
        <v>40000</v>
      </c>
    </row>
    <row r="15" spans="1:14" s="9" customFormat="1" ht="25.5" customHeight="1" x14ac:dyDescent="0.2">
      <c r="B15" s="32" t="s">
        <v>39</v>
      </c>
      <c r="C15" s="32"/>
      <c r="D15" s="10">
        <v>75000</v>
      </c>
      <c r="E15" s="10">
        <v>1</v>
      </c>
      <c r="F15" s="10">
        <f>E10</f>
        <v>1</v>
      </c>
      <c r="G15" s="10">
        <f t="shared" si="0"/>
        <v>0</v>
      </c>
      <c r="H15" s="10">
        <f t="shared" si="1"/>
        <v>75000</v>
      </c>
    </row>
    <row r="16" spans="1:14" s="9" customFormat="1" ht="25.5" customHeight="1" x14ac:dyDescent="0.2">
      <c r="B16" s="32" t="s">
        <v>34</v>
      </c>
      <c r="C16" s="32"/>
      <c r="D16" s="10">
        <v>75000</v>
      </c>
      <c r="E16" s="10">
        <v>1</v>
      </c>
      <c r="F16" s="10">
        <f>E10</f>
        <v>1</v>
      </c>
      <c r="G16" s="10">
        <f t="shared" si="0"/>
        <v>0</v>
      </c>
      <c r="H16" s="10">
        <f t="shared" si="1"/>
        <v>75000</v>
      </c>
    </row>
    <row r="17" spans="1:9" s="9" customFormat="1" ht="25.5" customHeight="1" x14ac:dyDescent="0.2">
      <c r="B17" s="32" t="s">
        <v>35</v>
      </c>
      <c r="C17" s="32"/>
      <c r="D17" s="10">
        <v>75000</v>
      </c>
      <c r="E17" s="10">
        <v>1</v>
      </c>
      <c r="F17" s="10">
        <f>E10</f>
        <v>1</v>
      </c>
      <c r="G17" s="10">
        <f t="shared" si="0"/>
        <v>0</v>
      </c>
      <c r="H17" s="10">
        <f t="shared" si="1"/>
        <v>75000</v>
      </c>
    </row>
    <row r="18" spans="1:9" s="9" customFormat="1" ht="25.5" customHeight="1" x14ac:dyDescent="0.2">
      <c r="B18" s="32" t="s">
        <v>9</v>
      </c>
      <c r="C18" s="32"/>
      <c r="D18" s="10">
        <v>25000</v>
      </c>
      <c r="E18" s="10">
        <v>1</v>
      </c>
      <c r="F18" s="10">
        <f>E10</f>
        <v>1</v>
      </c>
      <c r="G18" s="10">
        <f t="shared" si="0"/>
        <v>0</v>
      </c>
      <c r="H18" s="10">
        <f t="shared" si="1"/>
        <v>25000</v>
      </c>
    </row>
    <row r="19" spans="1:9" ht="25.5" customHeight="1" x14ac:dyDescent="0.45">
      <c r="A19" s="9"/>
      <c r="B19" s="33" t="s">
        <v>10</v>
      </c>
      <c r="C19" s="34"/>
      <c r="D19" s="10">
        <v>80000</v>
      </c>
      <c r="E19" s="10">
        <v>1</v>
      </c>
      <c r="F19" s="10">
        <f>E10</f>
        <v>1</v>
      </c>
      <c r="G19" s="10">
        <f t="shared" si="0"/>
        <v>0</v>
      </c>
      <c r="H19" s="10">
        <f t="shared" si="1"/>
        <v>80000</v>
      </c>
      <c r="I19" s="9"/>
    </row>
    <row r="20" spans="1:9" ht="19.5" x14ac:dyDescent="0.45">
      <c r="A20" s="9"/>
      <c r="B20" s="32" t="s">
        <v>13</v>
      </c>
      <c r="C20" s="32"/>
      <c r="D20" s="10">
        <v>80000</v>
      </c>
      <c r="E20" s="10">
        <v>1</v>
      </c>
      <c r="F20" s="10">
        <f>E10</f>
        <v>1</v>
      </c>
      <c r="G20" s="10">
        <f t="shared" si="0"/>
        <v>0</v>
      </c>
      <c r="H20" s="10">
        <f t="shared" si="1"/>
        <v>80000</v>
      </c>
      <c r="I20" s="9"/>
    </row>
    <row r="21" spans="1:9" ht="19.5" x14ac:dyDescent="0.45">
      <c r="B21" s="32" t="s">
        <v>14</v>
      </c>
      <c r="C21" s="32"/>
      <c r="D21" s="10">
        <v>60000</v>
      </c>
      <c r="E21" s="10">
        <v>1</v>
      </c>
      <c r="F21" s="10">
        <f>E10</f>
        <v>1</v>
      </c>
      <c r="G21" s="10">
        <f t="shared" si="0"/>
        <v>0</v>
      </c>
      <c r="H21" s="10">
        <f t="shared" si="1"/>
        <v>60000</v>
      </c>
    </row>
    <row r="22" spans="1:9" ht="8.4499999999999993" customHeight="1" x14ac:dyDescent="0.45"/>
    <row r="23" spans="1:9" ht="8.4499999999999993" customHeight="1" x14ac:dyDescent="0.45">
      <c r="A23"/>
      <c r="B23"/>
      <c r="C23"/>
      <c r="D23"/>
      <c r="E23"/>
      <c r="F23"/>
      <c r="G23"/>
      <c r="H23"/>
      <c r="I23"/>
    </row>
    <row r="24" spans="1:9" ht="25.5" x14ac:dyDescent="0.45">
      <c r="A24" s="89" t="s">
        <v>104</v>
      </c>
      <c r="B24" s="89"/>
      <c r="C24" s="89"/>
      <c r="D24" s="89"/>
      <c r="E24" s="89"/>
      <c r="F24" s="89"/>
      <c r="G24" s="89"/>
      <c r="H24" s="89"/>
      <c r="I24" s="89"/>
    </row>
  </sheetData>
  <sheetProtection sheet="1" objects="1" scenarios="1"/>
  <mergeCells count="29">
    <mergeCell ref="B19:C19"/>
    <mergeCell ref="B14:C14"/>
    <mergeCell ref="B15:C15"/>
    <mergeCell ref="A6:B6"/>
    <mergeCell ref="B10:D10"/>
    <mergeCell ref="B11:C11"/>
    <mergeCell ref="B12:C12"/>
    <mergeCell ref="D4:E4"/>
    <mergeCell ref="F4:G4"/>
    <mergeCell ref="B16:C16"/>
    <mergeCell ref="B17:C17"/>
    <mergeCell ref="B18:C18"/>
    <mergeCell ref="E10:H10"/>
    <mergeCell ref="A24:I24"/>
    <mergeCell ref="B13:C13"/>
    <mergeCell ref="A2:I2"/>
    <mergeCell ref="A3:B3"/>
    <mergeCell ref="C3:G3"/>
    <mergeCell ref="A4:B4"/>
    <mergeCell ref="B5:E5"/>
    <mergeCell ref="G5:I5"/>
    <mergeCell ref="A7:B7"/>
    <mergeCell ref="C7:D7"/>
    <mergeCell ref="H7:I7"/>
    <mergeCell ref="A8:B8"/>
    <mergeCell ref="C8:D8"/>
    <mergeCell ref="H8:I8"/>
    <mergeCell ref="B20:C20"/>
    <mergeCell ref="B21:C21"/>
  </mergeCells>
  <conditionalFormatting sqref="E11">
    <cfRule type="iconSet" priority="2">
      <iconSet>
        <cfvo type="percent" val="0"/>
        <cfvo type="num" val="100" gte="0"/>
        <cfvo type="num" val="501" gte="0"/>
      </iconSet>
    </cfRule>
  </conditionalFormatting>
  <conditionalFormatting sqref="I16:I22 I9 I25:I1048576">
    <cfRule type="iconSet" priority="3">
      <iconSet>
        <cfvo type="percent" val="0"/>
        <cfvo type="num" val="100" gte="0"/>
        <cfvo type="num" val="501" gte="0"/>
      </iconSet>
    </cfRule>
  </conditionalFormatting>
  <conditionalFormatting sqref="H12:H21">
    <cfRule type="iconSet" priority="90">
      <iconSet iconSet="3Symbols2">
        <cfvo type="percent" val="0"/>
        <cfvo type="num" val="100" gte="0"/>
        <cfvo type="num" val="200" gte="0"/>
      </iconSet>
    </cfRule>
  </conditionalFormatting>
  <printOptions horizontalCentered="1"/>
  <pageMargins left="0.27559055118110232" right="0.29527559055118108" top="0.55118110236220463" bottom="0.74803149606299213" header="0.31496062992125989" footer="0.31496062992125989"/>
  <pageSetup paperSize="9" orientation="portrait" r:id="rId1"/>
  <rowBreaks count="1" manualBreakCount="1">
    <brk id="22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N24"/>
  <sheetViews>
    <sheetView rightToLeft="1" view="pageLayout" topLeftCell="A16" zoomScaleNormal="100" workbookViewId="0">
      <selection activeCell="A8" sqref="A8:B8"/>
    </sheetView>
  </sheetViews>
  <sheetFormatPr defaultColWidth="9" defaultRowHeight="18" x14ac:dyDescent="0.45"/>
  <cols>
    <col min="1" max="1" width="9.375" style="1" customWidth="1"/>
    <col min="2" max="2" width="9.875" style="1" customWidth="1"/>
    <col min="3" max="4" width="9.375" style="1" customWidth="1"/>
    <col min="5" max="5" width="10" style="1" customWidth="1"/>
    <col min="6" max="6" width="10.25" style="1" customWidth="1"/>
    <col min="7" max="7" width="9.375" style="1" customWidth="1"/>
    <col min="8" max="8" width="10.75" style="1" customWidth="1"/>
    <col min="9" max="9" width="11" style="1" customWidth="1"/>
    <col min="10" max="10" width="5.375" style="1" customWidth="1"/>
    <col min="11" max="16384" width="9" style="1"/>
  </cols>
  <sheetData>
    <row r="1" spans="1:14" ht="12" customHeight="1" x14ac:dyDescent="0.45"/>
    <row r="2" spans="1:14" ht="26.25" customHeight="1" x14ac:dyDescent="0.45">
      <c r="A2" s="45" t="s">
        <v>19</v>
      </c>
      <c r="B2" s="45"/>
      <c r="C2" s="45"/>
      <c r="D2" s="45"/>
      <c r="E2" s="45"/>
      <c r="F2" s="45"/>
      <c r="G2" s="45"/>
      <c r="H2" s="45"/>
      <c r="I2" s="45"/>
    </row>
    <row r="3" spans="1:14" ht="39" customHeight="1" x14ac:dyDescent="0.45">
      <c r="A3" s="46" t="s">
        <v>20</v>
      </c>
      <c r="B3" s="46"/>
      <c r="C3" s="47" t="s">
        <v>15</v>
      </c>
      <c r="D3" s="47"/>
      <c r="E3" s="47"/>
      <c r="F3" s="47"/>
      <c r="G3" s="47"/>
      <c r="H3" s="13" t="s">
        <v>0</v>
      </c>
      <c r="I3" s="13" t="s">
        <v>1</v>
      </c>
    </row>
    <row r="4" spans="1:14" ht="26.25" customHeight="1" x14ac:dyDescent="0.45">
      <c r="A4" s="48">
        <v>1</v>
      </c>
      <c r="B4" s="48"/>
      <c r="C4" s="2" t="s">
        <v>21</v>
      </c>
      <c r="D4" s="90">
        <v>131</v>
      </c>
      <c r="E4" s="91"/>
      <c r="F4" s="92">
        <v>24926</v>
      </c>
      <c r="G4" s="93"/>
      <c r="H4" s="4" t="s">
        <v>46</v>
      </c>
      <c r="I4" s="4" t="s">
        <v>46</v>
      </c>
    </row>
    <row r="5" spans="1:14" ht="25.5" customHeight="1" x14ac:dyDescent="0.45">
      <c r="A5" s="14" t="s">
        <v>2</v>
      </c>
      <c r="B5" s="58" t="s">
        <v>54</v>
      </c>
      <c r="C5" s="58"/>
      <c r="D5" s="58"/>
      <c r="E5" s="58"/>
      <c r="F5" s="14" t="s">
        <v>22</v>
      </c>
      <c r="G5" s="58">
        <v>1</v>
      </c>
      <c r="H5" s="58"/>
      <c r="I5" s="58"/>
    </row>
    <row r="6" spans="1:14" ht="38.25" customHeight="1" x14ac:dyDescent="0.45">
      <c r="A6" s="38" t="s">
        <v>3</v>
      </c>
      <c r="B6" s="38"/>
      <c r="C6" s="14">
        <v>1394</v>
      </c>
      <c r="D6" s="13" t="s">
        <v>4</v>
      </c>
      <c r="E6" s="13" t="s">
        <v>55</v>
      </c>
      <c r="F6" s="13" t="s">
        <v>23</v>
      </c>
      <c r="G6" s="13"/>
      <c r="H6" s="13" t="s">
        <v>18</v>
      </c>
      <c r="I6" s="15">
        <v>44380</v>
      </c>
    </row>
    <row r="7" spans="1:14" ht="38.25" customHeight="1" x14ac:dyDescent="0.45">
      <c r="A7" s="50" t="s">
        <v>6</v>
      </c>
      <c r="B7" s="51"/>
      <c r="C7" s="50" t="s">
        <v>12</v>
      </c>
      <c r="D7" s="51"/>
      <c r="E7" s="14" t="s">
        <v>8</v>
      </c>
      <c r="F7" s="13" t="s">
        <v>105</v>
      </c>
      <c r="G7" s="13" t="s">
        <v>14</v>
      </c>
      <c r="H7" s="50" t="s">
        <v>13</v>
      </c>
      <c r="I7" s="51"/>
      <c r="J7" s="7"/>
      <c r="K7" s="5"/>
      <c r="L7" s="5"/>
      <c r="M7" s="5"/>
      <c r="N7" s="5"/>
    </row>
    <row r="8" spans="1:14" ht="38.25" customHeight="1" x14ac:dyDescent="0.45">
      <c r="A8" s="50"/>
      <c r="B8" s="51"/>
      <c r="C8" s="35"/>
      <c r="D8" s="37"/>
      <c r="E8" s="13"/>
      <c r="F8" s="13"/>
      <c r="G8" s="13"/>
      <c r="H8" s="50"/>
      <c r="I8" s="51"/>
    </row>
    <row r="9" spans="1:14" ht="23.25" customHeight="1" x14ac:dyDescent="0.45">
      <c r="B9" s="5"/>
      <c r="C9" s="5"/>
      <c r="D9" s="6"/>
      <c r="E9" s="6"/>
      <c r="F9" s="6"/>
      <c r="G9" s="6"/>
      <c r="H9" s="7"/>
      <c r="I9" s="7"/>
    </row>
    <row r="10" spans="1:14" s="9" customFormat="1" ht="42" customHeight="1" x14ac:dyDescent="0.45">
      <c r="A10" s="1"/>
      <c r="B10" s="39" t="s">
        <v>24</v>
      </c>
      <c r="C10" s="40"/>
      <c r="D10" s="41"/>
      <c r="E10" s="42">
        <f>Kilometrage!B7</f>
        <v>1</v>
      </c>
      <c r="F10" s="42"/>
      <c r="G10" s="42"/>
      <c r="H10" s="42"/>
      <c r="I10" s="1"/>
    </row>
    <row r="11" spans="1:14" s="9" customFormat="1" ht="58.5" customHeight="1" x14ac:dyDescent="0.45">
      <c r="A11" s="1"/>
      <c r="B11" s="43" t="s">
        <v>25</v>
      </c>
      <c r="C11" s="44"/>
      <c r="D11" s="8" t="s">
        <v>5</v>
      </c>
      <c r="E11" s="8" t="s">
        <v>26</v>
      </c>
      <c r="F11" s="8" t="s">
        <v>27</v>
      </c>
      <c r="G11" s="8" t="s">
        <v>28</v>
      </c>
      <c r="H11" s="8" t="s">
        <v>48</v>
      </c>
      <c r="I11" s="1"/>
    </row>
    <row r="12" spans="1:14" s="9" customFormat="1" ht="25.5" customHeight="1" x14ac:dyDescent="0.2">
      <c r="B12" s="33" t="s">
        <v>6</v>
      </c>
      <c r="C12" s="34"/>
      <c r="D12" s="10">
        <v>6000</v>
      </c>
      <c r="E12" s="10">
        <v>1</v>
      </c>
      <c r="F12" s="10">
        <f>E10</f>
        <v>1</v>
      </c>
      <c r="G12" s="10">
        <f>F12-E12</f>
        <v>0</v>
      </c>
      <c r="H12" s="10">
        <f>D12-G12</f>
        <v>6000</v>
      </c>
    </row>
    <row r="13" spans="1:14" s="9" customFormat="1" ht="25.5" customHeight="1" x14ac:dyDescent="0.2">
      <c r="B13" s="33" t="s">
        <v>30</v>
      </c>
      <c r="C13" s="34"/>
      <c r="D13" s="10">
        <v>11000</v>
      </c>
      <c r="E13" s="10">
        <v>1</v>
      </c>
      <c r="F13" s="10">
        <f>E10</f>
        <v>1</v>
      </c>
      <c r="G13" s="10">
        <f t="shared" ref="G13:G21" si="0">F13-E13</f>
        <v>0</v>
      </c>
      <c r="H13" s="10">
        <f t="shared" ref="H13:H21" si="1">D13-G13</f>
        <v>11000</v>
      </c>
    </row>
    <row r="14" spans="1:14" s="9" customFormat="1" ht="25.5" customHeight="1" x14ac:dyDescent="0.2">
      <c r="B14" s="33" t="s">
        <v>8</v>
      </c>
      <c r="C14" s="34"/>
      <c r="D14" s="10">
        <v>40000</v>
      </c>
      <c r="E14" s="10">
        <v>1</v>
      </c>
      <c r="F14" s="10">
        <f>E10</f>
        <v>1</v>
      </c>
      <c r="G14" s="10">
        <f t="shared" si="0"/>
        <v>0</v>
      </c>
      <c r="H14" s="10">
        <f t="shared" si="1"/>
        <v>40000</v>
      </c>
    </row>
    <row r="15" spans="1:14" s="9" customFormat="1" ht="25.5" customHeight="1" x14ac:dyDescent="0.2">
      <c r="B15" s="32" t="s">
        <v>39</v>
      </c>
      <c r="C15" s="32"/>
      <c r="D15" s="10">
        <v>75000</v>
      </c>
      <c r="E15" s="10">
        <v>1</v>
      </c>
      <c r="F15" s="10">
        <f>E10</f>
        <v>1</v>
      </c>
      <c r="G15" s="10">
        <f t="shared" si="0"/>
        <v>0</v>
      </c>
      <c r="H15" s="10">
        <f t="shared" si="1"/>
        <v>75000</v>
      </c>
    </row>
    <row r="16" spans="1:14" s="9" customFormat="1" ht="25.5" customHeight="1" x14ac:dyDescent="0.2">
      <c r="B16" s="32" t="s">
        <v>34</v>
      </c>
      <c r="C16" s="32"/>
      <c r="D16" s="10">
        <v>75000</v>
      </c>
      <c r="E16" s="10">
        <v>1</v>
      </c>
      <c r="F16" s="10">
        <f>E10</f>
        <v>1</v>
      </c>
      <c r="G16" s="10">
        <f t="shared" si="0"/>
        <v>0</v>
      </c>
      <c r="H16" s="10">
        <f t="shared" si="1"/>
        <v>75000</v>
      </c>
    </row>
    <row r="17" spans="1:9" s="9" customFormat="1" ht="25.5" customHeight="1" x14ac:dyDescent="0.2">
      <c r="B17" s="32" t="s">
        <v>35</v>
      </c>
      <c r="C17" s="32"/>
      <c r="D17" s="10">
        <v>75000</v>
      </c>
      <c r="E17" s="10">
        <v>1</v>
      </c>
      <c r="F17" s="10">
        <f>E10</f>
        <v>1</v>
      </c>
      <c r="G17" s="10">
        <f t="shared" si="0"/>
        <v>0</v>
      </c>
      <c r="H17" s="10">
        <f t="shared" si="1"/>
        <v>75000</v>
      </c>
    </row>
    <row r="18" spans="1:9" s="9" customFormat="1" ht="25.5" customHeight="1" x14ac:dyDescent="0.2">
      <c r="B18" s="32" t="s">
        <v>9</v>
      </c>
      <c r="C18" s="32"/>
      <c r="D18" s="10">
        <v>25000</v>
      </c>
      <c r="E18" s="10">
        <v>1</v>
      </c>
      <c r="F18" s="10">
        <f>E10</f>
        <v>1</v>
      </c>
      <c r="G18" s="10">
        <f t="shared" si="0"/>
        <v>0</v>
      </c>
      <c r="H18" s="10">
        <f t="shared" si="1"/>
        <v>25000</v>
      </c>
    </row>
    <row r="19" spans="1:9" ht="25.5" customHeight="1" x14ac:dyDescent="0.45">
      <c r="A19" s="9"/>
      <c r="B19" s="33" t="s">
        <v>10</v>
      </c>
      <c r="C19" s="34"/>
      <c r="D19" s="10">
        <v>80000</v>
      </c>
      <c r="E19" s="10">
        <v>1</v>
      </c>
      <c r="F19" s="10">
        <f>E10</f>
        <v>1</v>
      </c>
      <c r="G19" s="10">
        <f t="shared" si="0"/>
        <v>0</v>
      </c>
      <c r="H19" s="10">
        <f t="shared" si="1"/>
        <v>80000</v>
      </c>
      <c r="I19" s="9"/>
    </row>
    <row r="20" spans="1:9" ht="19.5" x14ac:dyDescent="0.45">
      <c r="A20" s="9"/>
      <c r="B20" s="32" t="s">
        <v>13</v>
      </c>
      <c r="C20" s="32"/>
      <c r="D20" s="10">
        <v>80000</v>
      </c>
      <c r="E20" s="10">
        <v>1</v>
      </c>
      <c r="F20" s="10">
        <f>E10</f>
        <v>1</v>
      </c>
      <c r="G20" s="10">
        <f t="shared" si="0"/>
        <v>0</v>
      </c>
      <c r="H20" s="10">
        <f t="shared" si="1"/>
        <v>80000</v>
      </c>
      <c r="I20" s="9"/>
    </row>
    <row r="21" spans="1:9" ht="19.5" x14ac:dyDescent="0.45">
      <c r="B21" s="32" t="s">
        <v>14</v>
      </c>
      <c r="C21" s="32"/>
      <c r="D21" s="10">
        <v>60000</v>
      </c>
      <c r="E21" s="10">
        <v>1</v>
      </c>
      <c r="F21" s="10">
        <f>E10</f>
        <v>1</v>
      </c>
      <c r="G21" s="10">
        <f t="shared" si="0"/>
        <v>0</v>
      </c>
      <c r="H21" s="10">
        <f t="shared" si="1"/>
        <v>60000</v>
      </c>
    </row>
    <row r="22" spans="1:9" ht="8.4499999999999993" customHeight="1" x14ac:dyDescent="0.45"/>
    <row r="23" spans="1:9" ht="8.4499999999999993" customHeight="1" x14ac:dyDescent="0.45">
      <c r="A23"/>
      <c r="B23"/>
      <c r="C23"/>
      <c r="D23"/>
      <c r="E23"/>
      <c r="F23"/>
      <c r="G23"/>
      <c r="H23"/>
      <c r="I23"/>
    </row>
    <row r="24" spans="1:9" ht="25.5" x14ac:dyDescent="0.45">
      <c r="A24" s="89" t="s">
        <v>104</v>
      </c>
      <c r="B24" s="89"/>
      <c r="C24" s="89"/>
      <c r="D24" s="89"/>
      <c r="E24" s="89"/>
      <c r="F24" s="89"/>
      <c r="G24" s="89"/>
      <c r="H24" s="89"/>
      <c r="I24" s="89"/>
    </row>
  </sheetData>
  <sheetProtection sheet="1" objects="1" scenarios="1"/>
  <mergeCells count="29">
    <mergeCell ref="B19:C19"/>
    <mergeCell ref="B14:C14"/>
    <mergeCell ref="B15:C15"/>
    <mergeCell ref="A6:B6"/>
    <mergeCell ref="B10:D10"/>
    <mergeCell ref="B11:C11"/>
    <mergeCell ref="B12:C12"/>
    <mergeCell ref="D4:E4"/>
    <mergeCell ref="F4:G4"/>
    <mergeCell ref="B16:C16"/>
    <mergeCell ref="B17:C17"/>
    <mergeCell ref="B18:C18"/>
    <mergeCell ref="E10:H10"/>
    <mergeCell ref="A24:I24"/>
    <mergeCell ref="B13:C13"/>
    <mergeCell ref="A2:I2"/>
    <mergeCell ref="A3:B3"/>
    <mergeCell ref="C3:G3"/>
    <mergeCell ref="A4:B4"/>
    <mergeCell ref="B5:E5"/>
    <mergeCell ref="G5:I5"/>
    <mergeCell ref="A7:B7"/>
    <mergeCell ref="C7:D7"/>
    <mergeCell ref="H7:I7"/>
    <mergeCell ref="A8:B8"/>
    <mergeCell ref="C8:D8"/>
    <mergeCell ref="H8:I8"/>
    <mergeCell ref="B20:C20"/>
    <mergeCell ref="B21:C21"/>
  </mergeCells>
  <conditionalFormatting sqref="E11">
    <cfRule type="iconSet" priority="2">
      <iconSet>
        <cfvo type="percent" val="0"/>
        <cfvo type="num" val="100" gte="0"/>
        <cfvo type="num" val="501" gte="0"/>
      </iconSet>
    </cfRule>
  </conditionalFormatting>
  <conditionalFormatting sqref="I16:I22 I9 I25:I1048576">
    <cfRule type="iconSet" priority="3">
      <iconSet>
        <cfvo type="percent" val="0"/>
        <cfvo type="num" val="100" gte="0"/>
        <cfvo type="num" val="501" gte="0"/>
      </iconSet>
    </cfRule>
  </conditionalFormatting>
  <conditionalFormatting sqref="H12:H21">
    <cfRule type="iconSet" priority="108">
      <iconSet iconSet="3Symbols2">
        <cfvo type="percent" val="0"/>
        <cfvo type="num" val="100" gte="0"/>
        <cfvo type="num" val="200" gte="0"/>
      </iconSet>
    </cfRule>
  </conditionalFormatting>
  <printOptions horizontalCentered="1"/>
  <pageMargins left="0.27559055118110232" right="0.29527559055118108" top="0.55118110236220463" bottom="0.74803149606299213" header="0.31496062992125989" footer="0.31496062992125989"/>
  <pageSetup paperSize="9" orientation="portrait" r:id="rId1"/>
  <rowBreaks count="1" manualBreakCount="1">
    <brk id="22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24"/>
  <sheetViews>
    <sheetView rightToLeft="1" view="pageLayout" topLeftCell="A7" zoomScaleNormal="100" workbookViewId="0">
      <selection activeCell="F15" sqref="F15"/>
    </sheetView>
  </sheetViews>
  <sheetFormatPr defaultColWidth="9" defaultRowHeight="18" x14ac:dyDescent="0.45"/>
  <cols>
    <col min="1" max="1" width="9.375" style="1" customWidth="1"/>
    <col min="2" max="2" width="9.875" style="1" customWidth="1"/>
    <col min="3" max="4" width="9.375" style="1" customWidth="1"/>
    <col min="5" max="5" width="10" style="1" customWidth="1"/>
    <col min="6" max="6" width="10.25" style="1" customWidth="1"/>
    <col min="7" max="7" width="9.375" style="1" customWidth="1"/>
    <col min="8" max="8" width="10.75" style="1" customWidth="1"/>
    <col min="9" max="9" width="11" style="1" customWidth="1"/>
    <col min="10" max="10" width="5.375" style="1" customWidth="1"/>
    <col min="11" max="16384" width="9" style="1"/>
  </cols>
  <sheetData>
    <row r="1" spans="1:14" ht="12" customHeight="1" x14ac:dyDescent="0.45"/>
    <row r="2" spans="1:14" ht="26.25" customHeight="1" x14ac:dyDescent="0.45">
      <c r="A2" s="45" t="s">
        <v>19</v>
      </c>
      <c r="B2" s="45"/>
      <c r="C2" s="45"/>
      <c r="D2" s="45"/>
      <c r="E2" s="45"/>
      <c r="F2" s="45"/>
      <c r="G2" s="45"/>
      <c r="H2" s="45"/>
      <c r="I2" s="45"/>
    </row>
    <row r="3" spans="1:14" ht="39" customHeight="1" x14ac:dyDescent="0.45">
      <c r="A3" s="46" t="s">
        <v>20</v>
      </c>
      <c r="B3" s="46"/>
      <c r="C3" s="47" t="s">
        <v>15</v>
      </c>
      <c r="D3" s="47"/>
      <c r="E3" s="47"/>
      <c r="F3" s="47"/>
      <c r="G3" s="47"/>
      <c r="H3" s="13" t="s">
        <v>0</v>
      </c>
      <c r="I3" s="13" t="s">
        <v>1</v>
      </c>
    </row>
    <row r="4" spans="1:14" ht="26.25" customHeight="1" x14ac:dyDescent="0.45">
      <c r="A4" s="48">
        <v>1</v>
      </c>
      <c r="B4" s="48"/>
      <c r="C4" s="2" t="s">
        <v>21</v>
      </c>
      <c r="D4" s="90">
        <v>131</v>
      </c>
      <c r="E4" s="91"/>
      <c r="F4" s="92">
        <v>46381</v>
      </c>
      <c r="G4" s="93"/>
      <c r="H4" s="4" t="s">
        <v>46</v>
      </c>
      <c r="I4" s="4" t="s">
        <v>46</v>
      </c>
    </row>
    <row r="5" spans="1:14" ht="25.5" customHeight="1" x14ac:dyDescent="0.45">
      <c r="A5" s="14" t="s">
        <v>2</v>
      </c>
      <c r="B5" s="58" t="s">
        <v>57</v>
      </c>
      <c r="C5" s="58"/>
      <c r="D5" s="58"/>
      <c r="E5" s="58"/>
      <c r="F5" s="14" t="s">
        <v>22</v>
      </c>
      <c r="G5" s="58">
        <v>1</v>
      </c>
      <c r="H5" s="58"/>
      <c r="I5" s="58"/>
    </row>
    <row r="6" spans="1:14" ht="38.25" customHeight="1" x14ac:dyDescent="0.45">
      <c r="A6" s="38" t="s">
        <v>3</v>
      </c>
      <c r="B6" s="38"/>
      <c r="C6" s="14">
        <v>1395</v>
      </c>
      <c r="D6" s="13" t="s">
        <v>4</v>
      </c>
      <c r="E6" s="13" t="s">
        <v>42</v>
      </c>
      <c r="F6" s="13" t="s">
        <v>23</v>
      </c>
      <c r="G6" s="13"/>
      <c r="H6" s="13" t="s">
        <v>18</v>
      </c>
      <c r="I6" s="15">
        <v>44380</v>
      </c>
    </row>
    <row r="7" spans="1:14" ht="38.25" customHeight="1" x14ac:dyDescent="0.45">
      <c r="A7" s="50" t="s">
        <v>6</v>
      </c>
      <c r="B7" s="51"/>
      <c r="C7" s="50" t="s">
        <v>12</v>
      </c>
      <c r="D7" s="51"/>
      <c r="E7" s="14" t="s">
        <v>8</v>
      </c>
      <c r="F7" s="13" t="s">
        <v>105</v>
      </c>
      <c r="G7" s="13" t="s">
        <v>14</v>
      </c>
      <c r="H7" s="50" t="s">
        <v>13</v>
      </c>
      <c r="I7" s="51"/>
      <c r="J7" s="7"/>
      <c r="K7" s="5"/>
      <c r="L7" s="5"/>
      <c r="M7" s="5"/>
      <c r="N7" s="5"/>
    </row>
    <row r="8" spans="1:14" ht="38.25" customHeight="1" x14ac:dyDescent="0.45">
      <c r="A8" s="50"/>
      <c r="B8" s="51"/>
      <c r="C8" s="35"/>
      <c r="D8" s="37"/>
      <c r="E8" s="13"/>
      <c r="F8" s="13"/>
      <c r="G8" s="13"/>
      <c r="H8" s="50"/>
      <c r="I8" s="51"/>
    </row>
    <row r="9" spans="1:14" ht="23.25" customHeight="1" x14ac:dyDescent="0.45">
      <c r="B9" s="5"/>
      <c r="C9" s="5"/>
      <c r="D9" s="6"/>
      <c r="E9" s="6"/>
      <c r="F9" s="6"/>
      <c r="G9" s="6"/>
      <c r="H9" s="7"/>
      <c r="I9" s="7"/>
    </row>
    <row r="10" spans="1:14" s="9" customFormat="1" ht="42" customHeight="1" x14ac:dyDescent="0.45">
      <c r="A10" s="1"/>
      <c r="B10" s="39" t="s">
        <v>24</v>
      </c>
      <c r="C10" s="40"/>
      <c r="D10" s="41"/>
      <c r="E10" s="42">
        <f>Kilometrage!B8</f>
        <v>1</v>
      </c>
      <c r="F10" s="42"/>
      <c r="G10" s="42"/>
      <c r="H10" s="42"/>
      <c r="I10" s="1"/>
    </row>
    <row r="11" spans="1:14" s="9" customFormat="1" ht="58.5" customHeight="1" x14ac:dyDescent="0.45">
      <c r="A11" s="1"/>
      <c r="B11" s="43" t="s">
        <v>25</v>
      </c>
      <c r="C11" s="44"/>
      <c r="D11" s="8" t="s">
        <v>5</v>
      </c>
      <c r="E11" s="8" t="s">
        <v>26</v>
      </c>
      <c r="F11" s="8" t="s">
        <v>27</v>
      </c>
      <c r="G11" s="8" t="s">
        <v>28</v>
      </c>
      <c r="H11" s="8" t="s">
        <v>48</v>
      </c>
      <c r="I11" s="1"/>
    </row>
    <row r="12" spans="1:14" s="9" customFormat="1" ht="25.5" customHeight="1" x14ac:dyDescent="0.2">
      <c r="B12" s="33" t="s">
        <v>6</v>
      </c>
      <c r="C12" s="34"/>
      <c r="D12" s="10">
        <v>6000</v>
      </c>
      <c r="E12" s="10">
        <v>1</v>
      </c>
      <c r="F12" s="10">
        <f>E10</f>
        <v>1</v>
      </c>
      <c r="G12" s="10">
        <f>F12-E12</f>
        <v>0</v>
      </c>
      <c r="H12" s="10">
        <f>D12-G12</f>
        <v>6000</v>
      </c>
    </row>
    <row r="13" spans="1:14" s="9" customFormat="1" ht="25.5" customHeight="1" x14ac:dyDescent="0.2">
      <c r="B13" s="33" t="s">
        <v>30</v>
      </c>
      <c r="C13" s="34"/>
      <c r="D13" s="10">
        <v>11000</v>
      </c>
      <c r="E13" s="10">
        <v>1</v>
      </c>
      <c r="F13" s="10">
        <f>E10</f>
        <v>1</v>
      </c>
      <c r="G13" s="10">
        <f t="shared" ref="G13:G21" si="0">F13-E13</f>
        <v>0</v>
      </c>
      <c r="H13" s="10">
        <f t="shared" ref="H13:H21" si="1">D13-G13</f>
        <v>11000</v>
      </c>
    </row>
    <row r="14" spans="1:14" s="9" customFormat="1" ht="25.5" customHeight="1" x14ac:dyDescent="0.2">
      <c r="B14" s="33" t="s">
        <v>8</v>
      </c>
      <c r="C14" s="34"/>
      <c r="D14" s="10">
        <v>40000</v>
      </c>
      <c r="E14" s="10">
        <v>1</v>
      </c>
      <c r="F14" s="10">
        <f>E10</f>
        <v>1</v>
      </c>
      <c r="G14" s="10">
        <f t="shared" si="0"/>
        <v>0</v>
      </c>
      <c r="H14" s="10">
        <f t="shared" si="1"/>
        <v>40000</v>
      </c>
    </row>
    <row r="15" spans="1:14" s="9" customFormat="1" ht="25.5" customHeight="1" x14ac:dyDescent="0.2">
      <c r="B15" s="32" t="s">
        <v>39</v>
      </c>
      <c r="C15" s="32"/>
      <c r="D15" s="10">
        <v>75000</v>
      </c>
      <c r="E15" s="10">
        <v>1</v>
      </c>
      <c r="F15" s="10">
        <f>E10</f>
        <v>1</v>
      </c>
      <c r="G15" s="10">
        <f t="shared" si="0"/>
        <v>0</v>
      </c>
      <c r="H15" s="10">
        <f t="shared" si="1"/>
        <v>75000</v>
      </c>
    </row>
    <row r="16" spans="1:14" s="9" customFormat="1" ht="25.5" customHeight="1" x14ac:dyDescent="0.2">
      <c r="B16" s="32" t="s">
        <v>34</v>
      </c>
      <c r="C16" s="32"/>
      <c r="D16" s="10">
        <v>75000</v>
      </c>
      <c r="E16" s="10">
        <v>1</v>
      </c>
      <c r="F16" s="10">
        <f>E10</f>
        <v>1</v>
      </c>
      <c r="G16" s="10">
        <f t="shared" si="0"/>
        <v>0</v>
      </c>
      <c r="H16" s="10">
        <f t="shared" si="1"/>
        <v>75000</v>
      </c>
    </row>
    <row r="17" spans="1:9" s="9" customFormat="1" ht="25.5" customHeight="1" x14ac:dyDescent="0.2">
      <c r="B17" s="32" t="s">
        <v>35</v>
      </c>
      <c r="C17" s="32"/>
      <c r="D17" s="10">
        <v>75000</v>
      </c>
      <c r="E17" s="10">
        <v>1</v>
      </c>
      <c r="F17" s="10">
        <f>E10</f>
        <v>1</v>
      </c>
      <c r="G17" s="10">
        <f t="shared" si="0"/>
        <v>0</v>
      </c>
      <c r="H17" s="10">
        <f t="shared" si="1"/>
        <v>75000</v>
      </c>
    </row>
    <row r="18" spans="1:9" s="9" customFormat="1" ht="25.5" customHeight="1" x14ac:dyDescent="0.2">
      <c r="B18" s="32" t="s">
        <v>9</v>
      </c>
      <c r="C18" s="32"/>
      <c r="D18" s="10">
        <v>25000</v>
      </c>
      <c r="E18" s="10">
        <v>1</v>
      </c>
      <c r="F18" s="10">
        <f>E10</f>
        <v>1</v>
      </c>
      <c r="G18" s="10">
        <f t="shared" si="0"/>
        <v>0</v>
      </c>
      <c r="H18" s="10">
        <f t="shared" si="1"/>
        <v>25000</v>
      </c>
    </row>
    <row r="19" spans="1:9" ht="25.5" customHeight="1" x14ac:dyDescent="0.45">
      <c r="A19" s="9"/>
      <c r="B19" s="33" t="s">
        <v>10</v>
      </c>
      <c r="C19" s="34"/>
      <c r="D19" s="10">
        <v>80000</v>
      </c>
      <c r="E19" s="10">
        <v>1</v>
      </c>
      <c r="F19" s="10">
        <f>E10</f>
        <v>1</v>
      </c>
      <c r="G19" s="10">
        <f t="shared" si="0"/>
        <v>0</v>
      </c>
      <c r="H19" s="10">
        <f t="shared" si="1"/>
        <v>80000</v>
      </c>
      <c r="I19" s="9"/>
    </row>
    <row r="20" spans="1:9" ht="19.5" x14ac:dyDescent="0.45">
      <c r="A20" s="9"/>
      <c r="B20" s="32" t="s">
        <v>13</v>
      </c>
      <c r="C20" s="32"/>
      <c r="D20" s="10">
        <v>80000</v>
      </c>
      <c r="E20" s="10">
        <v>1</v>
      </c>
      <c r="F20" s="10">
        <f>E10</f>
        <v>1</v>
      </c>
      <c r="G20" s="10">
        <f t="shared" si="0"/>
        <v>0</v>
      </c>
      <c r="H20" s="10">
        <f t="shared" si="1"/>
        <v>80000</v>
      </c>
      <c r="I20" s="9"/>
    </row>
    <row r="21" spans="1:9" ht="19.5" x14ac:dyDescent="0.45">
      <c r="B21" s="32" t="s">
        <v>14</v>
      </c>
      <c r="C21" s="32"/>
      <c r="D21" s="10">
        <v>60000</v>
      </c>
      <c r="E21" s="10">
        <v>1</v>
      </c>
      <c r="F21" s="10">
        <f>E10</f>
        <v>1</v>
      </c>
      <c r="G21" s="10">
        <f t="shared" si="0"/>
        <v>0</v>
      </c>
      <c r="H21" s="10">
        <f t="shared" si="1"/>
        <v>60000</v>
      </c>
    </row>
    <row r="22" spans="1:9" ht="8.4499999999999993" customHeight="1" x14ac:dyDescent="0.45"/>
    <row r="23" spans="1:9" ht="8.4499999999999993" customHeight="1" x14ac:dyDescent="0.45">
      <c r="A23"/>
      <c r="B23"/>
      <c r="C23"/>
      <c r="D23"/>
      <c r="E23"/>
      <c r="F23"/>
      <c r="G23"/>
      <c r="H23"/>
      <c r="I23"/>
    </row>
    <row r="24" spans="1:9" ht="25.5" x14ac:dyDescent="0.45">
      <c r="A24" s="89" t="s">
        <v>104</v>
      </c>
      <c r="B24" s="89"/>
      <c r="C24" s="89"/>
      <c r="D24" s="89"/>
      <c r="E24" s="89"/>
      <c r="F24" s="89"/>
      <c r="G24" s="89"/>
      <c r="H24" s="89"/>
      <c r="I24" s="89"/>
    </row>
  </sheetData>
  <sheetProtection sheet="1" objects="1" scenarios="1"/>
  <mergeCells count="29">
    <mergeCell ref="B19:C19"/>
    <mergeCell ref="B14:C14"/>
    <mergeCell ref="B15:C15"/>
    <mergeCell ref="A6:B6"/>
    <mergeCell ref="B10:D10"/>
    <mergeCell ref="B11:C11"/>
    <mergeCell ref="B12:C12"/>
    <mergeCell ref="D4:E4"/>
    <mergeCell ref="F4:G4"/>
    <mergeCell ref="B16:C16"/>
    <mergeCell ref="B17:C17"/>
    <mergeCell ref="B18:C18"/>
    <mergeCell ref="E10:H10"/>
    <mergeCell ref="A24:I24"/>
    <mergeCell ref="B13:C13"/>
    <mergeCell ref="A2:I2"/>
    <mergeCell ref="A3:B3"/>
    <mergeCell ref="C3:G3"/>
    <mergeCell ref="A4:B4"/>
    <mergeCell ref="B5:E5"/>
    <mergeCell ref="G5:I5"/>
    <mergeCell ref="A7:B7"/>
    <mergeCell ref="C7:D7"/>
    <mergeCell ref="H7:I7"/>
    <mergeCell ref="A8:B8"/>
    <mergeCell ref="C8:D8"/>
    <mergeCell ref="H8:I8"/>
    <mergeCell ref="B20:C20"/>
    <mergeCell ref="B21:C21"/>
  </mergeCells>
  <conditionalFormatting sqref="E11">
    <cfRule type="iconSet" priority="2">
      <iconSet>
        <cfvo type="percent" val="0"/>
        <cfvo type="num" val="100" gte="0"/>
        <cfvo type="num" val="501" gte="0"/>
      </iconSet>
    </cfRule>
  </conditionalFormatting>
  <conditionalFormatting sqref="I16:I22 I9 I25:I1048576">
    <cfRule type="iconSet" priority="3">
      <iconSet>
        <cfvo type="percent" val="0"/>
        <cfvo type="num" val="100" gte="0"/>
        <cfvo type="num" val="501" gte="0"/>
      </iconSet>
    </cfRule>
  </conditionalFormatting>
  <conditionalFormatting sqref="H12:H21">
    <cfRule type="iconSet" priority="126">
      <iconSet iconSet="3Symbols2">
        <cfvo type="percent" val="0"/>
        <cfvo type="num" val="100" gte="0"/>
        <cfvo type="num" val="200" gte="0"/>
      </iconSet>
    </cfRule>
  </conditionalFormatting>
  <printOptions horizontalCentered="1"/>
  <pageMargins left="0.27559055118110232" right="0.29527559055118108" top="0.55118110236220463" bottom="0.74803149606299213" header="0.31496062992125989" footer="0.31496062992125989"/>
  <pageSetup paperSize="9" orientation="portrait" r:id="rId1"/>
  <rowBreaks count="1" manualBreakCount="1">
    <brk id="22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N24"/>
  <sheetViews>
    <sheetView rightToLeft="1" view="pageLayout" zoomScaleNormal="100" workbookViewId="0">
      <selection activeCell="C6" sqref="C6"/>
    </sheetView>
  </sheetViews>
  <sheetFormatPr defaultColWidth="9" defaultRowHeight="18" x14ac:dyDescent="0.45"/>
  <cols>
    <col min="1" max="1" width="9.375" style="1" customWidth="1"/>
    <col min="2" max="2" width="9.875" style="1" customWidth="1"/>
    <col min="3" max="4" width="9.375" style="1" customWidth="1"/>
    <col min="5" max="5" width="10" style="1" customWidth="1"/>
    <col min="6" max="6" width="10.25" style="1" customWidth="1"/>
    <col min="7" max="7" width="9.375" style="1" customWidth="1"/>
    <col min="8" max="8" width="10.75" style="1" customWidth="1"/>
    <col min="9" max="9" width="11" style="1" customWidth="1"/>
    <col min="10" max="10" width="5.375" style="1" customWidth="1"/>
    <col min="11" max="16384" width="9" style="1"/>
  </cols>
  <sheetData>
    <row r="1" spans="1:14" ht="12" customHeight="1" x14ac:dyDescent="0.45"/>
    <row r="2" spans="1:14" ht="26.25" customHeight="1" x14ac:dyDescent="0.45">
      <c r="A2" s="45" t="s">
        <v>19</v>
      </c>
      <c r="B2" s="45"/>
      <c r="C2" s="45"/>
      <c r="D2" s="45"/>
      <c r="E2" s="45"/>
      <c r="F2" s="45"/>
      <c r="G2" s="45"/>
      <c r="H2" s="45"/>
      <c r="I2" s="45"/>
    </row>
    <row r="3" spans="1:14" ht="39" customHeight="1" x14ac:dyDescent="0.45">
      <c r="A3" s="46" t="s">
        <v>20</v>
      </c>
      <c r="B3" s="46"/>
      <c r="C3" s="47" t="s">
        <v>15</v>
      </c>
      <c r="D3" s="47"/>
      <c r="E3" s="47"/>
      <c r="F3" s="47"/>
      <c r="G3" s="47"/>
      <c r="H3" s="13" t="s">
        <v>0</v>
      </c>
      <c r="I3" s="13" t="s">
        <v>1</v>
      </c>
    </row>
    <row r="4" spans="1:14" ht="26.25" customHeight="1" x14ac:dyDescent="0.45">
      <c r="A4" s="48">
        <v>1</v>
      </c>
      <c r="B4" s="48"/>
      <c r="C4" s="2" t="s">
        <v>21</v>
      </c>
      <c r="D4" s="90">
        <v>128</v>
      </c>
      <c r="E4" s="91"/>
      <c r="F4" s="92">
        <v>34848</v>
      </c>
      <c r="G4" s="93"/>
      <c r="H4" s="4" t="s">
        <v>46</v>
      </c>
      <c r="I4" s="4" t="s">
        <v>46</v>
      </c>
    </row>
    <row r="5" spans="1:14" ht="25.5" customHeight="1" x14ac:dyDescent="0.45">
      <c r="A5" s="14" t="s">
        <v>2</v>
      </c>
      <c r="B5" s="58" t="s">
        <v>59</v>
      </c>
      <c r="C5" s="58"/>
      <c r="D5" s="58"/>
      <c r="E5" s="58"/>
      <c r="F5" s="14" t="s">
        <v>22</v>
      </c>
      <c r="G5" s="58">
        <v>1</v>
      </c>
      <c r="H5" s="58"/>
      <c r="I5" s="58"/>
    </row>
    <row r="6" spans="1:14" ht="38.25" customHeight="1" x14ac:dyDescent="0.45">
      <c r="A6" s="38" t="s">
        <v>3</v>
      </c>
      <c r="B6" s="38"/>
      <c r="C6" s="14">
        <v>1394</v>
      </c>
      <c r="D6" s="13" t="s">
        <v>4</v>
      </c>
      <c r="E6" s="13" t="s">
        <v>55</v>
      </c>
      <c r="F6" s="13" t="s">
        <v>23</v>
      </c>
      <c r="G6" s="13"/>
      <c r="H6" s="13" t="s">
        <v>18</v>
      </c>
      <c r="I6" s="15">
        <v>44380</v>
      </c>
    </row>
    <row r="7" spans="1:14" ht="38.25" customHeight="1" x14ac:dyDescent="0.45">
      <c r="A7" s="50" t="s">
        <v>6</v>
      </c>
      <c r="B7" s="51"/>
      <c r="C7" s="50" t="s">
        <v>12</v>
      </c>
      <c r="D7" s="51"/>
      <c r="E7" s="14" t="s">
        <v>8</v>
      </c>
      <c r="F7" s="13" t="s">
        <v>105</v>
      </c>
      <c r="G7" s="13" t="s">
        <v>14</v>
      </c>
      <c r="H7" s="50" t="s">
        <v>13</v>
      </c>
      <c r="I7" s="51"/>
      <c r="J7" s="7"/>
      <c r="K7" s="5"/>
      <c r="L7" s="5"/>
      <c r="M7" s="5"/>
      <c r="N7" s="5"/>
    </row>
    <row r="8" spans="1:14" ht="38.25" customHeight="1" x14ac:dyDescent="0.45">
      <c r="A8" s="50"/>
      <c r="B8" s="51"/>
      <c r="C8" s="35"/>
      <c r="D8" s="37"/>
      <c r="E8" s="13"/>
      <c r="F8" s="13"/>
      <c r="G8" s="13"/>
      <c r="H8" s="50"/>
      <c r="I8" s="51"/>
    </row>
    <row r="9" spans="1:14" ht="23.25" customHeight="1" x14ac:dyDescent="0.45">
      <c r="B9" s="5"/>
      <c r="C9" s="5"/>
      <c r="D9" s="6"/>
      <c r="E9" s="6"/>
      <c r="F9" s="6"/>
      <c r="G9" s="6"/>
      <c r="H9" s="7"/>
      <c r="I9" s="7"/>
    </row>
    <row r="10" spans="1:14" s="9" customFormat="1" ht="42" customHeight="1" x14ac:dyDescent="0.45">
      <c r="A10" s="1"/>
      <c r="B10" s="39" t="s">
        <v>24</v>
      </c>
      <c r="C10" s="40"/>
      <c r="D10" s="41"/>
      <c r="E10" s="42">
        <f>Kilometrage!B9</f>
        <v>1</v>
      </c>
      <c r="F10" s="42"/>
      <c r="G10" s="42"/>
      <c r="H10" s="42"/>
      <c r="I10" s="1"/>
    </row>
    <row r="11" spans="1:14" s="9" customFormat="1" ht="58.5" customHeight="1" x14ac:dyDescent="0.45">
      <c r="A11" s="1"/>
      <c r="B11" s="43" t="s">
        <v>25</v>
      </c>
      <c r="C11" s="44"/>
      <c r="D11" s="8" t="s">
        <v>5</v>
      </c>
      <c r="E11" s="8" t="s">
        <v>26</v>
      </c>
      <c r="F11" s="8" t="s">
        <v>27</v>
      </c>
      <c r="G11" s="8" t="s">
        <v>28</v>
      </c>
      <c r="H11" s="8" t="s">
        <v>48</v>
      </c>
      <c r="I11" s="1"/>
    </row>
    <row r="12" spans="1:14" s="9" customFormat="1" ht="25.5" customHeight="1" x14ac:dyDescent="0.2">
      <c r="B12" s="33" t="s">
        <v>6</v>
      </c>
      <c r="C12" s="34"/>
      <c r="D12" s="10">
        <v>6000</v>
      </c>
      <c r="E12" s="10">
        <v>1</v>
      </c>
      <c r="F12" s="10">
        <f>E10</f>
        <v>1</v>
      </c>
      <c r="G12" s="10">
        <f>F12-E12</f>
        <v>0</v>
      </c>
      <c r="H12" s="10">
        <f>D12-G12</f>
        <v>6000</v>
      </c>
    </row>
    <row r="13" spans="1:14" s="9" customFormat="1" ht="25.5" customHeight="1" x14ac:dyDescent="0.2">
      <c r="B13" s="33" t="s">
        <v>30</v>
      </c>
      <c r="C13" s="34"/>
      <c r="D13" s="10">
        <v>11000</v>
      </c>
      <c r="E13" s="10">
        <v>1</v>
      </c>
      <c r="F13" s="10">
        <f>E10</f>
        <v>1</v>
      </c>
      <c r="G13" s="10">
        <f t="shared" ref="G13:G21" si="0">F13-E13</f>
        <v>0</v>
      </c>
      <c r="H13" s="10">
        <f t="shared" ref="H13:H21" si="1">D13-G13</f>
        <v>11000</v>
      </c>
    </row>
    <row r="14" spans="1:14" s="9" customFormat="1" ht="25.5" customHeight="1" x14ac:dyDescent="0.2">
      <c r="B14" s="33" t="s">
        <v>8</v>
      </c>
      <c r="C14" s="34"/>
      <c r="D14" s="10">
        <v>40000</v>
      </c>
      <c r="E14" s="10">
        <v>1</v>
      </c>
      <c r="F14" s="10">
        <f>E10</f>
        <v>1</v>
      </c>
      <c r="G14" s="10">
        <f t="shared" si="0"/>
        <v>0</v>
      </c>
      <c r="H14" s="10">
        <f t="shared" si="1"/>
        <v>40000</v>
      </c>
    </row>
    <row r="15" spans="1:14" s="9" customFormat="1" ht="25.5" customHeight="1" x14ac:dyDescent="0.2">
      <c r="B15" s="32" t="s">
        <v>39</v>
      </c>
      <c r="C15" s="32"/>
      <c r="D15" s="10">
        <v>75000</v>
      </c>
      <c r="E15" s="10">
        <v>1</v>
      </c>
      <c r="F15" s="10">
        <f>E10</f>
        <v>1</v>
      </c>
      <c r="G15" s="10">
        <f t="shared" si="0"/>
        <v>0</v>
      </c>
      <c r="H15" s="10">
        <f t="shared" si="1"/>
        <v>75000</v>
      </c>
    </row>
    <row r="16" spans="1:14" s="9" customFormat="1" ht="25.5" customHeight="1" x14ac:dyDescent="0.2">
      <c r="B16" s="32" t="s">
        <v>34</v>
      </c>
      <c r="C16" s="32"/>
      <c r="D16" s="10">
        <v>75000</v>
      </c>
      <c r="E16" s="10">
        <v>1</v>
      </c>
      <c r="F16" s="10">
        <f>E10</f>
        <v>1</v>
      </c>
      <c r="G16" s="10">
        <f t="shared" si="0"/>
        <v>0</v>
      </c>
      <c r="H16" s="10">
        <f t="shared" si="1"/>
        <v>75000</v>
      </c>
    </row>
    <row r="17" spans="1:9" s="9" customFormat="1" ht="25.5" customHeight="1" x14ac:dyDescent="0.2">
      <c r="B17" s="32" t="s">
        <v>35</v>
      </c>
      <c r="C17" s="32"/>
      <c r="D17" s="10">
        <v>75000</v>
      </c>
      <c r="E17" s="10">
        <v>1</v>
      </c>
      <c r="F17" s="10">
        <f>E10</f>
        <v>1</v>
      </c>
      <c r="G17" s="10">
        <f t="shared" si="0"/>
        <v>0</v>
      </c>
      <c r="H17" s="10">
        <f t="shared" si="1"/>
        <v>75000</v>
      </c>
    </row>
    <row r="18" spans="1:9" s="9" customFormat="1" ht="25.5" customHeight="1" x14ac:dyDescent="0.2">
      <c r="B18" s="32" t="s">
        <v>9</v>
      </c>
      <c r="C18" s="32"/>
      <c r="D18" s="10">
        <v>25000</v>
      </c>
      <c r="E18" s="10">
        <v>1</v>
      </c>
      <c r="F18" s="10">
        <f>E10</f>
        <v>1</v>
      </c>
      <c r="G18" s="10">
        <f t="shared" si="0"/>
        <v>0</v>
      </c>
      <c r="H18" s="10">
        <f t="shared" si="1"/>
        <v>25000</v>
      </c>
    </row>
    <row r="19" spans="1:9" ht="25.5" customHeight="1" x14ac:dyDescent="0.45">
      <c r="A19" s="9"/>
      <c r="B19" s="33" t="s">
        <v>10</v>
      </c>
      <c r="C19" s="34"/>
      <c r="D19" s="10">
        <v>80000</v>
      </c>
      <c r="E19" s="10">
        <v>1</v>
      </c>
      <c r="F19" s="10">
        <f>E10</f>
        <v>1</v>
      </c>
      <c r="G19" s="10">
        <f t="shared" si="0"/>
        <v>0</v>
      </c>
      <c r="H19" s="10">
        <f t="shared" si="1"/>
        <v>80000</v>
      </c>
      <c r="I19" s="9"/>
    </row>
    <row r="20" spans="1:9" ht="19.5" x14ac:dyDescent="0.45">
      <c r="A20" s="9"/>
      <c r="B20" s="32" t="s">
        <v>13</v>
      </c>
      <c r="C20" s="32"/>
      <c r="D20" s="10">
        <v>80000</v>
      </c>
      <c r="E20" s="10">
        <v>1</v>
      </c>
      <c r="F20" s="10">
        <f>E10</f>
        <v>1</v>
      </c>
      <c r="G20" s="10">
        <f t="shared" si="0"/>
        <v>0</v>
      </c>
      <c r="H20" s="10">
        <f t="shared" si="1"/>
        <v>80000</v>
      </c>
      <c r="I20" s="9"/>
    </row>
    <row r="21" spans="1:9" ht="19.5" x14ac:dyDescent="0.45">
      <c r="B21" s="32" t="s">
        <v>14</v>
      </c>
      <c r="C21" s="32"/>
      <c r="D21" s="10">
        <v>60000</v>
      </c>
      <c r="E21" s="10">
        <v>1</v>
      </c>
      <c r="F21" s="10">
        <f>E10</f>
        <v>1</v>
      </c>
      <c r="G21" s="10">
        <f t="shared" si="0"/>
        <v>0</v>
      </c>
      <c r="H21" s="10">
        <f t="shared" si="1"/>
        <v>60000</v>
      </c>
    </row>
    <row r="22" spans="1:9" ht="8.4499999999999993" customHeight="1" x14ac:dyDescent="0.45"/>
    <row r="23" spans="1:9" ht="8.4499999999999993" customHeight="1" x14ac:dyDescent="0.45">
      <c r="A23"/>
      <c r="B23"/>
      <c r="C23"/>
      <c r="D23"/>
      <c r="E23"/>
      <c r="F23"/>
      <c r="G23"/>
      <c r="H23"/>
      <c r="I23"/>
    </row>
    <row r="24" spans="1:9" ht="25.5" x14ac:dyDescent="0.45">
      <c r="A24" s="89" t="s">
        <v>104</v>
      </c>
      <c r="B24" s="89"/>
      <c r="C24" s="89"/>
      <c r="D24" s="89"/>
      <c r="E24" s="89"/>
      <c r="F24" s="89"/>
      <c r="G24" s="89"/>
      <c r="H24" s="89"/>
      <c r="I24" s="89"/>
    </row>
  </sheetData>
  <sheetProtection sheet="1" objects="1" scenarios="1"/>
  <mergeCells count="29">
    <mergeCell ref="B19:C19"/>
    <mergeCell ref="B14:C14"/>
    <mergeCell ref="B15:C15"/>
    <mergeCell ref="A6:B6"/>
    <mergeCell ref="B10:D10"/>
    <mergeCell ref="B11:C11"/>
    <mergeCell ref="B12:C12"/>
    <mergeCell ref="D4:E4"/>
    <mergeCell ref="F4:G4"/>
    <mergeCell ref="B16:C16"/>
    <mergeCell ref="B17:C17"/>
    <mergeCell ref="B18:C18"/>
    <mergeCell ref="E10:H10"/>
    <mergeCell ref="A24:I24"/>
    <mergeCell ref="B13:C13"/>
    <mergeCell ref="A2:I2"/>
    <mergeCell ref="A3:B3"/>
    <mergeCell ref="C3:G3"/>
    <mergeCell ref="A4:B4"/>
    <mergeCell ref="B5:E5"/>
    <mergeCell ref="G5:I5"/>
    <mergeCell ref="A7:B7"/>
    <mergeCell ref="C7:D7"/>
    <mergeCell ref="H7:I7"/>
    <mergeCell ref="A8:B8"/>
    <mergeCell ref="C8:D8"/>
    <mergeCell ref="H8:I8"/>
    <mergeCell ref="B20:C20"/>
    <mergeCell ref="B21:C21"/>
  </mergeCells>
  <conditionalFormatting sqref="E11">
    <cfRule type="iconSet" priority="2">
      <iconSet>
        <cfvo type="percent" val="0"/>
        <cfvo type="num" val="100" gte="0"/>
        <cfvo type="num" val="501" gte="0"/>
      </iconSet>
    </cfRule>
  </conditionalFormatting>
  <conditionalFormatting sqref="I16:I22 I9 I25:I1048576">
    <cfRule type="iconSet" priority="3">
      <iconSet>
        <cfvo type="percent" val="0"/>
        <cfvo type="num" val="100" gte="0"/>
        <cfvo type="num" val="501" gte="0"/>
      </iconSet>
    </cfRule>
  </conditionalFormatting>
  <conditionalFormatting sqref="H12:H21">
    <cfRule type="iconSet" priority="144">
      <iconSet iconSet="3Symbols2">
        <cfvo type="percent" val="0"/>
        <cfvo type="num" val="100" gte="0"/>
        <cfvo type="num" val="200" gte="0"/>
      </iconSet>
    </cfRule>
  </conditionalFormatting>
  <printOptions horizontalCentered="1"/>
  <pageMargins left="0.27559055118110232" right="0.29527559055118108" top="0.55118110236220463" bottom="0.74803149606299213" header="0.31496062992125989" footer="0.31496062992125989"/>
  <pageSetup paperSize="9" orientation="portrait" r:id="rId1"/>
  <rowBreaks count="1" manualBreakCount="1">
    <brk id="22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53"/>
  <sheetViews>
    <sheetView rightToLeft="1" view="pageLayout" topLeftCell="A46" zoomScaleNormal="100" workbookViewId="0">
      <selection activeCell="B6" sqref="B6"/>
    </sheetView>
  </sheetViews>
  <sheetFormatPr defaultColWidth="9" defaultRowHeight="18" x14ac:dyDescent="0.45"/>
  <cols>
    <col min="1" max="1" width="9.375" style="1" customWidth="1"/>
    <col min="2" max="2" width="9.875" style="1" customWidth="1"/>
    <col min="3" max="4" width="9.375" style="1" customWidth="1"/>
    <col min="5" max="5" width="10" style="1" customWidth="1"/>
    <col min="6" max="6" width="10.25" style="1" customWidth="1"/>
    <col min="7" max="7" width="9.375" style="1" customWidth="1"/>
    <col min="8" max="8" width="10.75" style="1" customWidth="1"/>
    <col min="9" max="9" width="11" style="1" customWidth="1"/>
    <col min="10" max="10" width="5.375" style="1" customWidth="1"/>
    <col min="11" max="16384" width="9" style="1"/>
  </cols>
  <sheetData>
    <row r="1" spans="1:14" ht="12" customHeight="1" x14ac:dyDescent="0.45"/>
    <row r="2" spans="1:14" ht="26.25" customHeight="1" x14ac:dyDescent="0.45">
      <c r="A2" s="45" t="s">
        <v>19</v>
      </c>
      <c r="B2" s="45"/>
      <c r="C2" s="45"/>
      <c r="D2" s="45"/>
      <c r="E2" s="45"/>
      <c r="F2" s="45"/>
      <c r="G2" s="45"/>
      <c r="H2" s="45"/>
      <c r="I2" s="45"/>
    </row>
    <row r="3" spans="1:14" ht="39" customHeight="1" x14ac:dyDescent="0.45">
      <c r="A3" s="46" t="s">
        <v>20</v>
      </c>
      <c r="B3" s="46"/>
      <c r="C3" s="47" t="s">
        <v>15</v>
      </c>
      <c r="D3" s="47"/>
      <c r="E3" s="47"/>
      <c r="F3" s="47"/>
      <c r="G3" s="47"/>
      <c r="H3" s="13" t="s">
        <v>0</v>
      </c>
      <c r="I3" s="13" t="s">
        <v>1</v>
      </c>
    </row>
    <row r="4" spans="1:14" ht="26.25" customHeight="1" x14ac:dyDescent="0.45">
      <c r="A4" s="48" t="s">
        <v>62</v>
      </c>
      <c r="B4" s="48"/>
      <c r="C4" s="2" t="s">
        <v>21</v>
      </c>
      <c r="D4" s="2">
        <v>40</v>
      </c>
      <c r="E4" s="3">
        <v>47</v>
      </c>
      <c r="F4" s="3" t="s">
        <v>61</v>
      </c>
      <c r="G4" s="3">
        <v>365</v>
      </c>
      <c r="H4" s="4" t="s">
        <v>46</v>
      </c>
      <c r="I4" s="4" t="s">
        <v>46</v>
      </c>
    </row>
    <row r="5" spans="1:14" ht="25.5" customHeight="1" x14ac:dyDescent="0.45">
      <c r="A5" s="14" t="s">
        <v>2</v>
      </c>
      <c r="B5" s="58" t="s">
        <v>63</v>
      </c>
      <c r="C5" s="58"/>
      <c r="D5" s="58"/>
      <c r="E5" s="58"/>
      <c r="F5" s="14" t="s">
        <v>22</v>
      </c>
      <c r="G5" s="58">
        <v>1</v>
      </c>
      <c r="H5" s="58"/>
      <c r="I5" s="58"/>
    </row>
    <row r="6" spans="1:14" ht="38.25" customHeight="1" x14ac:dyDescent="0.45">
      <c r="A6" s="38" t="s">
        <v>3</v>
      </c>
      <c r="B6" s="38"/>
      <c r="C6" s="14">
        <v>1392</v>
      </c>
      <c r="D6" s="13" t="s">
        <v>4</v>
      </c>
      <c r="E6" s="13" t="s">
        <v>64</v>
      </c>
      <c r="F6" s="13" t="s">
        <v>23</v>
      </c>
      <c r="G6" s="13">
        <v>1</v>
      </c>
      <c r="H6" s="13" t="s">
        <v>18</v>
      </c>
      <c r="I6" s="15">
        <v>44402</v>
      </c>
    </row>
    <row r="7" spans="1:14" ht="38.25" customHeight="1" x14ac:dyDescent="0.45">
      <c r="A7" s="50" t="s">
        <v>6</v>
      </c>
      <c r="B7" s="51"/>
      <c r="C7" s="50" t="s">
        <v>12</v>
      </c>
      <c r="D7" s="51"/>
      <c r="E7" s="14" t="s">
        <v>8</v>
      </c>
      <c r="F7" s="13" t="s">
        <v>105</v>
      </c>
      <c r="G7" s="13" t="s">
        <v>14</v>
      </c>
      <c r="H7" s="50" t="s">
        <v>13</v>
      </c>
      <c r="I7" s="51"/>
      <c r="J7" s="7"/>
      <c r="K7" s="5"/>
      <c r="L7" s="5"/>
      <c r="M7" s="5"/>
      <c r="N7" s="5"/>
    </row>
    <row r="8" spans="1:14" ht="38.25" customHeight="1" x14ac:dyDescent="0.45">
      <c r="A8" s="50"/>
      <c r="B8" s="51"/>
      <c r="C8" s="35"/>
      <c r="D8" s="37"/>
      <c r="E8" s="13"/>
      <c r="F8" s="13"/>
      <c r="G8" s="13"/>
      <c r="H8" s="50"/>
      <c r="I8" s="51"/>
    </row>
    <row r="9" spans="1:14" ht="23.25" customHeight="1" x14ac:dyDescent="0.45">
      <c r="B9" s="5"/>
      <c r="C9" s="5"/>
      <c r="D9" s="6"/>
      <c r="E9" s="6"/>
      <c r="F9" s="6"/>
      <c r="G9" s="6"/>
      <c r="H9" s="7"/>
      <c r="I9" s="7"/>
    </row>
    <row r="10" spans="1:14" s="9" customFormat="1" ht="42" customHeight="1" x14ac:dyDescent="0.45">
      <c r="A10" s="1"/>
      <c r="B10" s="39" t="s">
        <v>24</v>
      </c>
      <c r="C10" s="40"/>
      <c r="D10" s="41"/>
      <c r="E10" s="42">
        <f>Kilometrage!B10</f>
        <v>1</v>
      </c>
      <c r="F10" s="42"/>
      <c r="G10" s="42"/>
      <c r="H10" s="42"/>
      <c r="I10" s="1"/>
    </row>
    <row r="11" spans="1:14" s="9" customFormat="1" ht="58.5" customHeight="1" x14ac:dyDescent="0.45">
      <c r="A11" s="1"/>
      <c r="B11" s="43" t="s">
        <v>25</v>
      </c>
      <c r="C11" s="44"/>
      <c r="D11" s="8" t="s">
        <v>5</v>
      </c>
      <c r="E11" s="8" t="s">
        <v>26</v>
      </c>
      <c r="F11" s="8" t="s">
        <v>27</v>
      </c>
      <c r="G11" s="8" t="s">
        <v>28</v>
      </c>
      <c r="H11" s="8" t="s">
        <v>48</v>
      </c>
      <c r="I11" s="1"/>
    </row>
    <row r="12" spans="1:14" s="9" customFormat="1" ht="25.5" customHeight="1" x14ac:dyDescent="0.2">
      <c r="B12" s="33" t="s">
        <v>6</v>
      </c>
      <c r="C12" s="34"/>
      <c r="D12" s="10">
        <v>6000</v>
      </c>
      <c r="E12" s="10">
        <v>1</v>
      </c>
      <c r="F12" s="10">
        <f>E10</f>
        <v>1</v>
      </c>
      <c r="G12" s="10">
        <f>F12-E12</f>
        <v>0</v>
      </c>
      <c r="H12" s="10">
        <f>D12-G12</f>
        <v>6000</v>
      </c>
    </row>
    <row r="13" spans="1:14" s="9" customFormat="1" ht="25.5" customHeight="1" x14ac:dyDescent="0.2">
      <c r="B13" s="33" t="s">
        <v>30</v>
      </c>
      <c r="C13" s="34"/>
      <c r="D13" s="10">
        <v>11000</v>
      </c>
      <c r="E13" s="10">
        <v>1</v>
      </c>
      <c r="F13" s="10">
        <f>E10</f>
        <v>1</v>
      </c>
      <c r="G13" s="10">
        <f t="shared" ref="G13:G27" si="0">F13-E13</f>
        <v>0</v>
      </c>
      <c r="H13" s="10">
        <f t="shared" ref="H13:H27" si="1">D13-G13</f>
        <v>11000</v>
      </c>
    </row>
    <row r="14" spans="1:14" s="9" customFormat="1" ht="25.5" customHeight="1" x14ac:dyDescent="0.2">
      <c r="B14" s="33" t="s">
        <v>31</v>
      </c>
      <c r="C14" s="34"/>
      <c r="D14" s="10">
        <v>6000</v>
      </c>
      <c r="E14" s="10">
        <v>1</v>
      </c>
      <c r="F14" s="10">
        <f>E10</f>
        <v>1</v>
      </c>
      <c r="G14" s="10">
        <f t="shared" si="0"/>
        <v>0</v>
      </c>
      <c r="H14" s="10">
        <f t="shared" si="1"/>
        <v>6000</v>
      </c>
    </row>
    <row r="15" spans="1:14" s="9" customFormat="1" ht="25.5" customHeight="1" x14ac:dyDescent="0.2">
      <c r="B15" s="33" t="s">
        <v>32</v>
      </c>
      <c r="C15" s="34"/>
      <c r="D15" s="10">
        <v>30000</v>
      </c>
      <c r="E15" s="10">
        <v>1</v>
      </c>
      <c r="F15" s="10">
        <f>E10</f>
        <v>1</v>
      </c>
      <c r="G15" s="10">
        <f t="shared" si="0"/>
        <v>0</v>
      </c>
      <c r="H15" s="10">
        <f t="shared" si="1"/>
        <v>30000</v>
      </c>
    </row>
    <row r="16" spans="1:14" s="9" customFormat="1" ht="25.5" customHeight="1" x14ac:dyDescent="0.2">
      <c r="B16" s="33" t="s">
        <v>7</v>
      </c>
      <c r="C16" s="34"/>
      <c r="D16" s="10">
        <v>60000</v>
      </c>
      <c r="E16" s="10">
        <v>1</v>
      </c>
      <c r="F16" s="10">
        <f>E10</f>
        <v>1</v>
      </c>
      <c r="G16" s="10">
        <f t="shared" si="0"/>
        <v>0</v>
      </c>
      <c r="H16" s="10">
        <f t="shared" si="1"/>
        <v>60000</v>
      </c>
    </row>
    <row r="17" spans="1:9" s="9" customFormat="1" ht="25.5" customHeight="1" x14ac:dyDescent="0.2">
      <c r="B17" s="33" t="s">
        <v>8</v>
      </c>
      <c r="C17" s="34"/>
      <c r="D17" s="10">
        <v>40000</v>
      </c>
      <c r="E17" s="10">
        <v>1</v>
      </c>
      <c r="F17" s="10">
        <f>E10</f>
        <v>1</v>
      </c>
      <c r="G17" s="10">
        <f t="shared" si="0"/>
        <v>0</v>
      </c>
      <c r="H17" s="10">
        <f t="shared" si="1"/>
        <v>40000</v>
      </c>
    </row>
    <row r="18" spans="1:9" s="9" customFormat="1" ht="25.5" customHeight="1" x14ac:dyDescent="0.2">
      <c r="B18" s="33" t="s">
        <v>33</v>
      </c>
      <c r="C18" s="34"/>
      <c r="D18" s="10">
        <v>45000</v>
      </c>
      <c r="E18" s="10">
        <v>1</v>
      </c>
      <c r="F18" s="10">
        <f>E10</f>
        <v>1</v>
      </c>
      <c r="G18" s="10">
        <f t="shared" si="0"/>
        <v>0</v>
      </c>
      <c r="H18" s="10">
        <f t="shared" si="1"/>
        <v>45000</v>
      </c>
    </row>
    <row r="19" spans="1:9" s="9" customFormat="1" ht="25.5" customHeight="1" x14ac:dyDescent="0.2">
      <c r="B19" s="32" t="s">
        <v>39</v>
      </c>
      <c r="C19" s="32"/>
      <c r="D19" s="10">
        <v>75000</v>
      </c>
      <c r="E19" s="10">
        <v>1</v>
      </c>
      <c r="F19" s="10">
        <f>E10</f>
        <v>1</v>
      </c>
      <c r="G19" s="10">
        <f t="shared" si="0"/>
        <v>0</v>
      </c>
      <c r="H19" s="10">
        <f t="shared" si="1"/>
        <v>75000</v>
      </c>
    </row>
    <row r="20" spans="1:9" s="9" customFormat="1" ht="25.5" customHeight="1" x14ac:dyDescent="0.2">
      <c r="B20" s="32" t="s">
        <v>34</v>
      </c>
      <c r="C20" s="32"/>
      <c r="D20" s="10">
        <v>75000</v>
      </c>
      <c r="E20" s="10">
        <v>1</v>
      </c>
      <c r="F20" s="10">
        <f>E10</f>
        <v>1</v>
      </c>
      <c r="G20" s="10">
        <f t="shared" si="0"/>
        <v>0</v>
      </c>
      <c r="H20" s="10">
        <f t="shared" si="1"/>
        <v>75000</v>
      </c>
    </row>
    <row r="21" spans="1:9" s="9" customFormat="1" ht="25.5" customHeight="1" x14ac:dyDescent="0.2">
      <c r="B21" s="32" t="s">
        <v>35</v>
      </c>
      <c r="C21" s="32"/>
      <c r="D21" s="10">
        <v>75000</v>
      </c>
      <c r="E21" s="10">
        <v>1</v>
      </c>
      <c r="F21" s="10">
        <f>E10</f>
        <v>1</v>
      </c>
      <c r="G21" s="10">
        <f t="shared" si="0"/>
        <v>0</v>
      </c>
      <c r="H21" s="10">
        <f t="shared" si="1"/>
        <v>75000</v>
      </c>
    </row>
    <row r="22" spans="1:9" s="9" customFormat="1" ht="25.5" customHeight="1" x14ac:dyDescent="0.2">
      <c r="B22" s="32" t="s">
        <v>9</v>
      </c>
      <c r="C22" s="32"/>
      <c r="D22" s="10">
        <v>25000</v>
      </c>
      <c r="E22" s="10">
        <v>1</v>
      </c>
      <c r="F22" s="10">
        <f>E10</f>
        <v>1</v>
      </c>
      <c r="G22" s="10">
        <f t="shared" si="0"/>
        <v>0</v>
      </c>
      <c r="H22" s="10">
        <f t="shared" si="1"/>
        <v>25000</v>
      </c>
    </row>
    <row r="23" spans="1:9" s="9" customFormat="1" ht="25.5" customHeight="1" x14ac:dyDescent="0.2">
      <c r="B23" s="33" t="s">
        <v>10</v>
      </c>
      <c r="C23" s="34"/>
      <c r="D23" s="10">
        <v>80000</v>
      </c>
      <c r="E23" s="10">
        <v>1</v>
      </c>
      <c r="F23" s="10">
        <f>E10</f>
        <v>1</v>
      </c>
      <c r="G23" s="10">
        <f t="shared" si="0"/>
        <v>0</v>
      </c>
      <c r="H23" s="10">
        <f t="shared" si="1"/>
        <v>80000</v>
      </c>
    </row>
    <row r="24" spans="1:9" s="9" customFormat="1" ht="25.5" customHeight="1" x14ac:dyDescent="0.2">
      <c r="B24" s="32" t="s">
        <v>11</v>
      </c>
      <c r="C24" s="32"/>
      <c r="D24" s="10">
        <v>60000</v>
      </c>
      <c r="E24" s="10">
        <v>1</v>
      </c>
      <c r="F24" s="10">
        <f>E10</f>
        <v>1</v>
      </c>
      <c r="G24" s="10">
        <f t="shared" si="0"/>
        <v>0</v>
      </c>
      <c r="H24" s="10">
        <f t="shared" si="1"/>
        <v>60000</v>
      </c>
    </row>
    <row r="25" spans="1:9" ht="25.5" customHeight="1" x14ac:dyDescent="0.45">
      <c r="A25" s="9"/>
      <c r="B25" s="32" t="s">
        <v>12</v>
      </c>
      <c r="C25" s="32"/>
      <c r="D25" s="10">
        <v>90000</v>
      </c>
      <c r="E25" s="10">
        <v>1</v>
      </c>
      <c r="F25" s="10">
        <f>E10</f>
        <v>1</v>
      </c>
      <c r="G25" s="10">
        <f t="shared" si="0"/>
        <v>0</v>
      </c>
      <c r="H25" s="10">
        <f t="shared" si="1"/>
        <v>90000</v>
      </c>
      <c r="I25" s="9"/>
    </row>
    <row r="26" spans="1:9" ht="19.5" x14ac:dyDescent="0.45">
      <c r="A26" s="9"/>
      <c r="B26" s="32" t="s">
        <v>13</v>
      </c>
      <c r="C26" s="32"/>
      <c r="D26" s="10">
        <v>80000</v>
      </c>
      <c r="E26" s="10">
        <v>1</v>
      </c>
      <c r="F26" s="10">
        <f>E10</f>
        <v>1</v>
      </c>
      <c r="G26" s="10">
        <f t="shared" si="0"/>
        <v>0</v>
      </c>
      <c r="H26" s="10">
        <f t="shared" si="1"/>
        <v>80000</v>
      </c>
      <c r="I26" s="9"/>
    </row>
    <row r="27" spans="1:9" ht="19.5" x14ac:dyDescent="0.45">
      <c r="B27" s="32" t="s">
        <v>14</v>
      </c>
      <c r="C27" s="32"/>
      <c r="D27" s="10">
        <v>60000</v>
      </c>
      <c r="E27" s="10">
        <v>1</v>
      </c>
      <c r="F27" s="10">
        <f>E10</f>
        <v>1</v>
      </c>
      <c r="G27" s="10">
        <f t="shared" si="0"/>
        <v>0</v>
      </c>
      <c r="H27" s="10">
        <f t="shared" si="1"/>
        <v>60000</v>
      </c>
    </row>
    <row r="28" spans="1:9" ht="8.4499999999999993" customHeight="1" x14ac:dyDescent="0.45"/>
    <row r="29" spans="1:9" ht="8.4499999999999993" customHeight="1" x14ac:dyDescent="0.45">
      <c r="A29"/>
      <c r="B29"/>
      <c r="C29"/>
      <c r="D29"/>
      <c r="E29"/>
      <c r="F29"/>
      <c r="G29"/>
      <c r="H29"/>
      <c r="I29"/>
    </row>
    <row r="30" spans="1:9" ht="25.5" x14ac:dyDescent="0.45">
      <c r="A30" s="89" t="s">
        <v>104</v>
      </c>
      <c r="B30" s="89"/>
      <c r="C30" s="89"/>
      <c r="D30" s="89"/>
      <c r="E30" s="89"/>
      <c r="F30" s="89"/>
      <c r="G30" s="89"/>
      <c r="H30" s="89"/>
      <c r="I30" s="89"/>
    </row>
    <row r="32" spans="1:9" ht="33.75" x14ac:dyDescent="0.45">
      <c r="A32" s="85" t="s">
        <v>92</v>
      </c>
      <c r="B32" s="86"/>
      <c r="C32" s="86"/>
      <c r="D32" s="86"/>
      <c r="E32" s="86"/>
      <c r="F32" s="86"/>
      <c r="G32" s="86"/>
      <c r="H32" s="86"/>
      <c r="I32" s="87"/>
    </row>
    <row r="33" spans="1:15" ht="63" x14ac:dyDescent="0.45">
      <c r="A33" s="50" t="s">
        <v>93</v>
      </c>
      <c r="B33" s="51"/>
      <c r="C33" s="16" t="s">
        <v>94</v>
      </c>
      <c r="D33" s="17" t="s">
        <v>95</v>
      </c>
      <c r="E33" s="88" t="s">
        <v>96</v>
      </c>
      <c r="F33" s="88"/>
      <c r="G33" s="88"/>
      <c r="H33" s="88" t="s">
        <v>97</v>
      </c>
      <c r="I33" s="88"/>
    </row>
    <row r="34" spans="1:15" ht="72" customHeight="1" x14ac:dyDescent="0.45">
      <c r="A34" s="64">
        <v>45614</v>
      </c>
      <c r="B34" s="65"/>
      <c r="C34" s="21">
        <v>91500</v>
      </c>
      <c r="D34" s="22" t="s">
        <v>119</v>
      </c>
      <c r="E34" s="75" t="s">
        <v>122</v>
      </c>
      <c r="F34" s="75"/>
      <c r="G34" s="75"/>
      <c r="H34" s="23" t="s">
        <v>123</v>
      </c>
      <c r="I34" s="24" t="s">
        <v>124</v>
      </c>
      <c r="N34" s="29"/>
      <c r="O34" s="29"/>
    </row>
    <row r="35" spans="1:15" ht="21" x14ac:dyDescent="0.45">
      <c r="A35" s="76" t="s">
        <v>98</v>
      </c>
      <c r="B35" s="76"/>
      <c r="C35" s="77" t="s">
        <v>125</v>
      </c>
      <c r="D35" s="77"/>
      <c r="E35" s="77"/>
      <c r="F35" s="77"/>
      <c r="G35" s="77"/>
      <c r="H35" s="77"/>
      <c r="I35" s="77"/>
    </row>
    <row r="36" spans="1:15" ht="21" x14ac:dyDescent="0.45">
      <c r="A36" s="78" t="s">
        <v>99</v>
      </c>
      <c r="B36" s="79"/>
      <c r="C36" s="80">
        <v>45619</v>
      </c>
      <c r="D36" s="80"/>
      <c r="E36" s="80"/>
      <c r="F36" s="80"/>
      <c r="G36" s="80"/>
      <c r="H36" s="80"/>
      <c r="I36" s="80"/>
    </row>
    <row r="37" spans="1:15" ht="21" x14ac:dyDescent="0.45">
      <c r="A37" s="81" t="s">
        <v>100</v>
      </c>
      <c r="B37" s="82"/>
      <c r="C37" s="81" t="s">
        <v>101</v>
      </c>
      <c r="D37" s="82"/>
      <c r="E37" s="82"/>
      <c r="F37" s="82"/>
      <c r="G37" s="82"/>
      <c r="H37" s="83"/>
      <c r="I37" s="25" t="s">
        <v>102</v>
      </c>
    </row>
    <row r="38" spans="1:15" ht="21" x14ac:dyDescent="0.45">
      <c r="A38" s="50">
        <v>1</v>
      </c>
      <c r="B38" s="51"/>
      <c r="C38" s="75" t="s">
        <v>126</v>
      </c>
      <c r="D38" s="75"/>
      <c r="E38" s="75"/>
      <c r="F38" s="75"/>
      <c r="G38" s="75"/>
      <c r="H38" s="75"/>
      <c r="I38" s="21">
        <v>750000</v>
      </c>
    </row>
    <row r="39" spans="1:15" ht="21" x14ac:dyDescent="0.45">
      <c r="A39" s="50">
        <v>2</v>
      </c>
      <c r="B39" s="51"/>
      <c r="C39" s="75" t="s">
        <v>127</v>
      </c>
      <c r="D39" s="75"/>
      <c r="E39" s="75"/>
      <c r="F39" s="75"/>
      <c r="G39" s="75"/>
      <c r="H39" s="75"/>
      <c r="I39" s="21">
        <v>100000</v>
      </c>
    </row>
    <row r="40" spans="1:15" ht="21" x14ac:dyDescent="0.45">
      <c r="A40" s="50">
        <v>3</v>
      </c>
      <c r="B40" s="51"/>
      <c r="C40" s="75" t="s">
        <v>128</v>
      </c>
      <c r="D40" s="75"/>
      <c r="E40" s="75"/>
      <c r="F40" s="75"/>
      <c r="G40" s="75"/>
      <c r="H40" s="75"/>
      <c r="I40" s="21">
        <v>350000</v>
      </c>
    </row>
    <row r="41" spans="1:15" ht="21" x14ac:dyDescent="0.45">
      <c r="A41" s="68"/>
      <c r="B41" s="68"/>
      <c r="C41"/>
      <c r="D41" s="26"/>
      <c r="E41" s="72" t="s">
        <v>103</v>
      </c>
      <c r="F41" s="72"/>
      <c r="G41" s="73">
        <v>1200000</v>
      </c>
      <c r="H41" s="73"/>
      <c r="I41" s="74"/>
    </row>
    <row r="43" spans="1:15" ht="33.75" x14ac:dyDescent="0.45">
      <c r="A43" s="85" t="s">
        <v>92</v>
      </c>
      <c r="B43" s="86"/>
      <c r="C43" s="86"/>
      <c r="D43" s="86"/>
      <c r="E43" s="86"/>
      <c r="F43" s="86"/>
      <c r="G43" s="86"/>
      <c r="H43" s="86"/>
      <c r="I43" s="87"/>
    </row>
    <row r="44" spans="1:15" ht="63" x14ac:dyDescent="0.45">
      <c r="A44" s="50" t="s">
        <v>93</v>
      </c>
      <c r="B44" s="51"/>
      <c r="C44" s="16" t="s">
        <v>94</v>
      </c>
      <c r="D44" s="17" t="s">
        <v>95</v>
      </c>
      <c r="E44" s="88" t="s">
        <v>96</v>
      </c>
      <c r="F44" s="88"/>
      <c r="G44" s="88"/>
      <c r="H44" s="88" t="s">
        <v>97</v>
      </c>
      <c r="I44" s="88"/>
    </row>
    <row r="45" spans="1:15" ht="36" customHeight="1" x14ac:dyDescent="0.45">
      <c r="A45" s="64">
        <v>45615</v>
      </c>
      <c r="B45" s="65"/>
      <c r="C45" s="21"/>
      <c r="D45" s="22"/>
      <c r="E45" s="75" t="s">
        <v>137</v>
      </c>
      <c r="F45" s="75"/>
      <c r="G45" s="75"/>
      <c r="H45" s="23"/>
      <c r="I45" s="24"/>
      <c r="N45" s="29"/>
      <c r="O45" s="29"/>
    </row>
    <row r="46" spans="1:15" ht="21" x14ac:dyDescent="0.45">
      <c r="A46" s="76" t="s">
        <v>98</v>
      </c>
      <c r="B46" s="76"/>
      <c r="C46" s="77"/>
      <c r="D46" s="77"/>
      <c r="E46" s="77"/>
      <c r="F46" s="77"/>
      <c r="G46" s="77"/>
      <c r="H46" s="77"/>
      <c r="I46" s="77"/>
    </row>
    <row r="47" spans="1:15" ht="21" x14ac:dyDescent="0.45">
      <c r="A47" s="78" t="s">
        <v>99</v>
      </c>
      <c r="B47" s="79"/>
      <c r="C47" s="80">
        <v>45620</v>
      </c>
      <c r="D47" s="80"/>
      <c r="E47" s="80"/>
      <c r="F47" s="80"/>
      <c r="G47" s="80"/>
      <c r="H47" s="80"/>
      <c r="I47" s="80"/>
    </row>
    <row r="48" spans="1:15" ht="21" x14ac:dyDescent="0.45">
      <c r="A48" s="81" t="s">
        <v>100</v>
      </c>
      <c r="B48" s="82"/>
      <c r="C48" s="81" t="s">
        <v>101</v>
      </c>
      <c r="D48" s="82"/>
      <c r="E48" s="82"/>
      <c r="F48" s="82"/>
      <c r="G48" s="82"/>
      <c r="H48" s="83"/>
      <c r="I48" s="25" t="s">
        <v>102</v>
      </c>
    </row>
    <row r="49" spans="1:9" ht="21" x14ac:dyDescent="0.45">
      <c r="A49" s="50">
        <v>1</v>
      </c>
      <c r="B49" s="51"/>
      <c r="C49" s="75" t="s">
        <v>142</v>
      </c>
      <c r="D49" s="75"/>
      <c r="E49" s="75"/>
      <c r="F49" s="75"/>
      <c r="G49" s="75"/>
      <c r="H49" s="75"/>
      <c r="I49" s="30">
        <v>1000000</v>
      </c>
    </row>
    <row r="50" spans="1:9" ht="21" x14ac:dyDescent="0.45">
      <c r="A50" s="50">
        <v>2</v>
      </c>
      <c r="B50" s="51"/>
      <c r="C50" s="75" t="s">
        <v>143</v>
      </c>
      <c r="D50" s="75"/>
      <c r="E50" s="75"/>
      <c r="F50" s="75"/>
      <c r="G50" s="75"/>
      <c r="H50" s="75"/>
      <c r="I50" s="30">
        <v>50000000</v>
      </c>
    </row>
    <row r="51" spans="1:9" ht="21" x14ac:dyDescent="0.45">
      <c r="A51" s="50">
        <v>3</v>
      </c>
      <c r="B51" s="51"/>
      <c r="C51" s="75" t="s">
        <v>144</v>
      </c>
      <c r="D51" s="75"/>
      <c r="E51" s="75"/>
      <c r="F51" s="75"/>
      <c r="G51" s="75"/>
      <c r="H51" s="75"/>
      <c r="I51" s="30">
        <v>3000000</v>
      </c>
    </row>
    <row r="52" spans="1:9" ht="21" x14ac:dyDescent="0.45">
      <c r="A52" s="50">
        <v>4</v>
      </c>
      <c r="B52" s="51"/>
      <c r="C52" s="75" t="s">
        <v>145</v>
      </c>
      <c r="D52" s="75"/>
      <c r="E52" s="75"/>
      <c r="F52" s="75"/>
      <c r="G52" s="75"/>
      <c r="H52" s="75"/>
      <c r="I52" s="30">
        <v>180000</v>
      </c>
    </row>
    <row r="53" spans="1:9" ht="21" x14ac:dyDescent="0.45">
      <c r="A53" s="68"/>
      <c r="B53" s="68"/>
      <c r="C53"/>
      <c r="D53" s="26"/>
      <c r="E53" s="72" t="s">
        <v>103</v>
      </c>
      <c r="F53" s="72"/>
      <c r="G53" s="73">
        <v>54180000</v>
      </c>
      <c r="H53" s="73"/>
      <c r="I53" s="74"/>
    </row>
  </sheetData>
  <mergeCells count="77">
    <mergeCell ref="B25:C25"/>
    <mergeCell ref="B20:C20"/>
    <mergeCell ref="B21:C21"/>
    <mergeCell ref="B22:C22"/>
    <mergeCell ref="B23:C23"/>
    <mergeCell ref="B24:C24"/>
    <mergeCell ref="A6:B6"/>
    <mergeCell ref="B10:D10"/>
    <mergeCell ref="E10:H10"/>
    <mergeCell ref="B11:C11"/>
    <mergeCell ref="B12:C12"/>
    <mergeCell ref="A7:B7"/>
    <mergeCell ref="C7:D7"/>
    <mergeCell ref="H7:I7"/>
    <mergeCell ref="A8:B8"/>
    <mergeCell ref="C8:D8"/>
    <mergeCell ref="H8:I8"/>
    <mergeCell ref="A2:I2"/>
    <mergeCell ref="A3:B3"/>
    <mergeCell ref="C3:G3"/>
    <mergeCell ref="A4:B4"/>
    <mergeCell ref="B5:E5"/>
    <mergeCell ref="G5:I5"/>
    <mergeCell ref="B19:C19"/>
    <mergeCell ref="B13:C13"/>
    <mergeCell ref="B14:C14"/>
    <mergeCell ref="B15:C15"/>
    <mergeCell ref="B16:C16"/>
    <mergeCell ref="B17:C17"/>
    <mergeCell ref="B18:C18"/>
    <mergeCell ref="B26:C26"/>
    <mergeCell ref="B27:C27"/>
    <mergeCell ref="A34:B34"/>
    <mergeCell ref="E34:G34"/>
    <mergeCell ref="A35:B35"/>
    <mergeCell ref="C35:I35"/>
    <mergeCell ref="A30:I30"/>
    <mergeCell ref="A32:I32"/>
    <mergeCell ref="A33:B33"/>
    <mergeCell ref="E33:G33"/>
    <mergeCell ref="H33:I33"/>
    <mergeCell ref="A36:B36"/>
    <mergeCell ref="C36:I36"/>
    <mergeCell ref="A37:B37"/>
    <mergeCell ref="C37:H37"/>
    <mergeCell ref="A38:B38"/>
    <mergeCell ref="C38:H38"/>
    <mergeCell ref="A39:B39"/>
    <mergeCell ref="C39:H39"/>
    <mergeCell ref="A40:B40"/>
    <mergeCell ref="C40:H40"/>
    <mergeCell ref="A41:B41"/>
    <mergeCell ref="E41:F41"/>
    <mergeCell ref="G41:I41"/>
    <mergeCell ref="A43:I43"/>
    <mergeCell ref="A44:B44"/>
    <mergeCell ref="E44:G44"/>
    <mergeCell ref="H44:I44"/>
    <mergeCell ref="A45:B45"/>
    <mergeCell ref="E45:G45"/>
    <mergeCell ref="A46:B46"/>
    <mergeCell ref="C46:I46"/>
    <mergeCell ref="A47:B47"/>
    <mergeCell ref="C47:I47"/>
    <mergeCell ref="A48:B48"/>
    <mergeCell ref="C48:H48"/>
    <mergeCell ref="A49:B49"/>
    <mergeCell ref="C49:H49"/>
    <mergeCell ref="A50:B50"/>
    <mergeCell ref="C50:H50"/>
    <mergeCell ref="A51:B51"/>
    <mergeCell ref="C51:H51"/>
    <mergeCell ref="A52:B52"/>
    <mergeCell ref="C52:H52"/>
    <mergeCell ref="A53:B53"/>
    <mergeCell ref="E53:F53"/>
    <mergeCell ref="G53:I53"/>
  </mergeCells>
  <conditionalFormatting sqref="E11">
    <cfRule type="iconSet" priority="13">
      <iconSet>
        <cfvo type="percent" val="0"/>
        <cfvo type="num" val="100" gte="0"/>
        <cfvo type="num" val="501" gte="0"/>
      </iconSet>
    </cfRule>
  </conditionalFormatting>
  <conditionalFormatting sqref="I54:I1048576 I42 I9 I20:I28 I31">
    <cfRule type="iconSet" priority="14">
      <iconSet>
        <cfvo type="percent" val="0"/>
        <cfvo type="num" val="100" gte="0"/>
        <cfvo type="num" val="501" gte="0"/>
      </iconSet>
    </cfRule>
  </conditionalFormatting>
  <conditionalFormatting sqref="H12:H27">
    <cfRule type="iconSet" priority="12">
      <iconSet iconSet="3Symbols2">
        <cfvo type="percent" val="0"/>
        <cfvo type="num" val="100" gte="0"/>
        <cfvo type="num" val="200" gte="0"/>
      </iconSet>
    </cfRule>
  </conditionalFormatting>
  <conditionalFormatting sqref="I32:I37">
    <cfRule type="iconSet" priority="11">
      <iconSet>
        <cfvo type="percent" val="0"/>
        <cfvo type="num" val="100" gte="0"/>
        <cfvo type="num" val="501" gte="0"/>
      </iconSet>
    </cfRule>
  </conditionalFormatting>
  <conditionalFormatting sqref="I38">
    <cfRule type="iconSet" priority="10">
      <iconSet>
        <cfvo type="percent" val="0"/>
        <cfvo type="num" val="100" gte="0"/>
        <cfvo type="num" val="501" gte="0"/>
      </iconSet>
    </cfRule>
  </conditionalFormatting>
  <conditionalFormatting sqref="I39">
    <cfRule type="iconSet" priority="9">
      <iconSet>
        <cfvo type="percent" val="0"/>
        <cfvo type="num" val="100" gte="0"/>
        <cfvo type="num" val="501" gte="0"/>
      </iconSet>
    </cfRule>
  </conditionalFormatting>
  <conditionalFormatting sqref="I40">
    <cfRule type="iconSet" priority="8">
      <iconSet>
        <cfvo type="percent" val="0"/>
        <cfvo type="num" val="100" gte="0"/>
        <cfvo type="num" val="501" gte="0"/>
      </iconSet>
    </cfRule>
  </conditionalFormatting>
  <conditionalFormatting sqref="I41">
    <cfRule type="iconSet" priority="7">
      <iconSet>
        <cfvo type="percent" val="0"/>
        <cfvo type="num" val="100" gte="0"/>
        <cfvo type="num" val="501" gte="0"/>
      </iconSet>
    </cfRule>
  </conditionalFormatting>
  <conditionalFormatting sqref="I43:I48">
    <cfRule type="iconSet" priority="6">
      <iconSet>
        <cfvo type="percent" val="0"/>
        <cfvo type="num" val="100" gte="0"/>
        <cfvo type="num" val="501" gte="0"/>
      </iconSet>
    </cfRule>
  </conditionalFormatting>
  <conditionalFormatting sqref="I53">
    <cfRule type="iconSet" priority="1">
      <iconSet>
        <cfvo type="percent" val="0"/>
        <cfvo type="num" val="100" gte="0"/>
        <cfvo type="num" val="501" gte="0"/>
      </iconSet>
    </cfRule>
  </conditionalFormatting>
  <printOptions horizontalCentered="1"/>
  <pageMargins left="0.27559055118110232" right="0.29527559055118108" top="0.55118110236220463" bottom="0.74803149606299213" header="0.31496062992125989" footer="0.31496062992125989"/>
  <pageSetup paperSize="9" orientation="portrait" r:id="rId1"/>
  <rowBreaks count="1" manualBreakCount="1">
    <brk id="28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N46"/>
  <sheetViews>
    <sheetView rightToLeft="1" view="pageLayout" topLeftCell="A37" zoomScaleNormal="100" workbookViewId="0">
      <selection activeCell="B14" sqref="B14:C14"/>
    </sheetView>
  </sheetViews>
  <sheetFormatPr defaultColWidth="9" defaultRowHeight="18" x14ac:dyDescent="0.45"/>
  <cols>
    <col min="1" max="1" width="9.375" style="1" customWidth="1"/>
    <col min="2" max="2" width="9.875" style="1" customWidth="1"/>
    <col min="3" max="4" width="9.375" style="1" customWidth="1"/>
    <col min="5" max="5" width="10" style="1" customWidth="1"/>
    <col min="6" max="6" width="10.25" style="1" customWidth="1"/>
    <col min="7" max="7" width="9.375" style="1" customWidth="1"/>
    <col min="8" max="8" width="10.75" style="1" customWidth="1"/>
    <col min="9" max="9" width="11" style="1" customWidth="1"/>
    <col min="10" max="10" width="5.375" style="1" customWidth="1"/>
    <col min="11" max="16384" width="9" style="1"/>
  </cols>
  <sheetData>
    <row r="1" spans="1:14" ht="12" customHeight="1" x14ac:dyDescent="0.45"/>
    <row r="2" spans="1:14" ht="26.25" customHeight="1" x14ac:dyDescent="0.45">
      <c r="A2" s="45" t="s">
        <v>19</v>
      </c>
      <c r="B2" s="45"/>
      <c r="C2" s="45"/>
      <c r="D2" s="45"/>
      <c r="E2" s="45"/>
      <c r="F2" s="45"/>
      <c r="G2" s="45"/>
      <c r="H2" s="45"/>
      <c r="I2" s="45"/>
    </row>
    <row r="3" spans="1:14" ht="39" customHeight="1" x14ac:dyDescent="0.45">
      <c r="A3" s="46" t="s">
        <v>20</v>
      </c>
      <c r="B3" s="46"/>
      <c r="C3" s="47" t="s">
        <v>15</v>
      </c>
      <c r="D3" s="47"/>
      <c r="E3" s="47"/>
      <c r="F3" s="47"/>
      <c r="G3" s="47"/>
      <c r="H3" s="13" t="s">
        <v>0</v>
      </c>
      <c r="I3" s="13" t="s">
        <v>1</v>
      </c>
    </row>
    <row r="4" spans="1:14" ht="26.25" customHeight="1" x14ac:dyDescent="0.45">
      <c r="A4" s="48" t="s">
        <v>66</v>
      </c>
      <c r="B4" s="48"/>
      <c r="C4" s="2" t="s">
        <v>21</v>
      </c>
      <c r="D4" s="2">
        <v>40</v>
      </c>
      <c r="E4" s="3">
        <v>26</v>
      </c>
      <c r="F4" s="3" t="s">
        <v>65</v>
      </c>
      <c r="G4" s="3">
        <v>928</v>
      </c>
      <c r="H4" s="4" t="s">
        <v>46</v>
      </c>
      <c r="I4" s="4" t="s">
        <v>46</v>
      </c>
    </row>
    <row r="5" spans="1:14" ht="25.5" customHeight="1" x14ac:dyDescent="0.45">
      <c r="A5" s="14" t="s">
        <v>2</v>
      </c>
      <c r="B5" s="58" t="s">
        <v>67</v>
      </c>
      <c r="C5" s="58"/>
      <c r="D5" s="58"/>
      <c r="E5" s="58"/>
      <c r="F5" s="14" t="s">
        <v>22</v>
      </c>
      <c r="G5" s="58">
        <v>1</v>
      </c>
      <c r="H5" s="58"/>
      <c r="I5" s="58"/>
    </row>
    <row r="6" spans="1:14" ht="38.25" customHeight="1" x14ac:dyDescent="0.45">
      <c r="A6" s="38" t="s">
        <v>3</v>
      </c>
      <c r="B6" s="38"/>
      <c r="C6" s="14">
        <v>1397</v>
      </c>
      <c r="D6" s="13" t="s">
        <v>4</v>
      </c>
      <c r="E6" s="13" t="s">
        <v>42</v>
      </c>
      <c r="F6" s="13" t="s">
        <v>23</v>
      </c>
      <c r="G6" s="13" t="s">
        <v>68</v>
      </c>
      <c r="H6" s="13" t="s">
        <v>18</v>
      </c>
      <c r="I6" s="15">
        <v>44380</v>
      </c>
    </row>
    <row r="7" spans="1:14" ht="38.25" customHeight="1" x14ac:dyDescent="0.45">
      <c r="A7" s="50" t="s">
        <v>6</v>
      </c>
      <c r="B7" s="51"/>
      <c r="C7" s="50" t="s">
        <v>12</v>
      </c>
      <c r="D7" s="51"/>
      <c r="E7" s="14" t="s">
        <v>8</v>
      </c>
      <c r="F7" s="13" t="s">
        <v>105</v>
      </c>
      <c r="G7" s="13" t="s">
        <v>14</v>
      </c>
      <c r="H7" s="50" t="s">
        <v>13</v>
      </c>
      <c r="I7" s="51"/>
      <c r="J7" s="7"/>
      <c r="K7" s="5"/>
      <c r="L7" s="5"/>
      <c r="M7" s="5"/>
      <c r="N7" s="5"/>
    </row>
    <row r="8" spans="1:14" ht="38.25" customHeight="1" x14ac:dyDescent="0.45">
      <c r="A8" s="50"/>
      <c r="B8" s="51"/>
      <c r="C8" s="35"/>
      <c r="D8" s="37"/>
      <c r="E8" s="13"/>
      <c r="F8" s="13"/>
      <c r="G8" s="13"/>
      <c r="H8" s="50"/>
      <c r="I8" s="51"/>
    </row>
    <row r="9" spans="1:14" ht="23.25" customHeight="1" x14ac:dyDescent="0.45">
      <c r="B9" s="5"/>
      <c r="C9" s="5"/>
      <c r="D9" s="6"/>
      <c r="E9" s="6"/>
      <c r="F9" s="6"/>
      <c r="G9" s="6"/>
      <c r="H9" s="7"/>
      <c r="I9" s="7"/>
    </row>
    <row r="10" spans="1:14" s="9" customFormat="1" ht="42" customHeight="1" x14ac:dyDescent="0.45">
      <c r="A10" s="1"/>
      <c r="B10" s="39" t="s">
        <v>24</v>
      </c>
      <c r="C10" s="40"/>
      <c r="D10" s="41"/>
      <c r="E10" s="42">
        <f>Kilometrage!B11</f>
        <v>94000</v>
      </c>
      <c r="F10" s="42"/>
      <c r="G10" s="42"/>
      <c r="H10" s="42"/>
      <c r="I10" s="1"/>
    </row>
    <row r="11" spans="1:14" s="9" customFormat="1" ht="58.5" customHeight="1" x14ac:dyDescent="0.45">
      <c r="A11" s="1"/>
      <c r="B11" s="43" t="s">
        <v>25</v>
      </c>
      <c r="C11" s="44"/>
      <c r="D11" s="8" t="s">
        <v>5</v>
      </c>
      <c r="E11" s="8" t="s">
        <v>26</v>
      </c>
      <c r="F11" s="8" t="s">
        <v>27</v>
      </c>
      <c r="G11" s="8" t="s">
        <v>28</v>
      </c>
      <c r="H11" s="8" t="s">
        <v>48</v>
      </c>
      <c r="I11" s="1"/>
    </row>
    <row r="12" spans="1:14" s="9" customFormat="1" ht="25.5" customHeight="1" x14ac:dyDescent="0.2">
      <c r="B12" s="33" t="s">
        <v>6</v>
      </c>
      <c r="C12" s="34"/>
      <c r="D12" s="10">
        <v>6000</v>
      </c>
      <c r="E12" s="10">
        <v>85000</v>
      </c>
      <c r="F12" s="10">
        <f>E10</f>
        <v>94000</v>
      </c>
      <c r="G12" s="10">
        <f>F12-E12</f>
        <v>9000</v>
      </c>
      <c r="H12" s="10">
        <f>D12-G12</f>
        <v>-3000</v>
      </c>
    </row>
    <row r="13" spans="1:14" s="9" customFormat="1" ht="25.5" customHeight="1" x14ac:dyDescent="0.2">
      <c r="B13" s="33" t="s">
        <v>30</v>
      </c>
      <c r="C13" s="34"/>
      <c r="D13" s="10">
        <v>6000</v>
      </c>
      <c r="E13" s="10">
        <v>91000</v>
      </c>
      <c r="F13" s="10">
        <f>E10</f>
        <v>94000</v>
      </c>
      <c r="G13" s="10">
        <f t="shared" ref="G13:G27" si="0">F13-E13</f>
        <v>3000</v>
      </c>
      <c r="H13" s="10">
        <f t="shared" ref="H13:H27" si="1">D13-G13</f>
        <v>3000</v>
      </c>
    </row>
    <row r="14" spans="1:14" s="9" customFormat="1" ht="25.5" customHeight="1" x14ac:dyDescent="0.2">
      <c r="B14" s="33" t="s">
        <v>31</v>
      </c>
      <c r="C14" s="34"/>
      <c r="D14" s="10">
        <v>11000</v>
      </c>
      <c r="E14" s="10">
        <v>91000</v>
      </c>
      <c r="F14" s="10">
        <f>E10</f>
        <v>94000</v>
      </c>
      <c r="G14" s="10">
        <f t="shared" si="0"/>
        <v>3000</v>
      </c>
      <c r="H14" s="10">
        <f t="shared" si="1"/>
        <v>8000</v>
      </c>
    </row>
    <row r="15" spans="1:14" s="9" customFormat="1" ht="25.5" customHeight="1" x14ac:dyDescent="0.2">
      <c r="B15" s="33" t="s">
        <v>32</v>
      </c>
      <c r="C15" s="34"/>
      <c r="D15" s="10">
        <v>10000</v>
      </c>
      <c r="E15" s="10">
        <v>84000</v>
      </c>
      <c r="F15" s="10">
        <f>E10</f>
        <v>94000</v>
      </c>
      <c r="G15" s="10">
        <f t="shared" si="0"/>
        <v>10000</v>
      </c>
      <c r="H15" s="10">
        <f t="shared" si="1"/>
        <v>0</v>
      </c>
    </row>
    <row r="16" spans="1:14" s="9" customFormat="1" ht="25.5" customHeight="1" x14ac:dyDescent="0.2">
      <c r="B16" s="33" t="s">
        <v>7</v>
      </c>
      <c r="C16" s="34"/>
      <c r="D16" s="10">
        <v>60000</v>
      </c>
      <c r="E16" s="10">
        <v>43600</v>
      </c>
      <c r="F16" s="10">
        <f>E10</f>
        <v>94000</v>
      </c>
      <c r="G16" s="10">
        <f t="shared" si="0"/>
        <v>50400</v>
      </c>
      <c r="H16" s="10">
        <f t="shared" si="1"/>
        <v>9600</v>
      </c>
    </row>
    <row r="17" spans="1:9" s="9" customFormat="1" ht="25.5" customHeight="1" x14ac:dyDescent="0.2">
      <c r="B17" s="33" t="s">
        <v>8</v>
      </c>
      <c r="C17" s="34"/>
      <c r="D17" s="10">
        <v>40000</v>
      </c>
      <c r="E17" s="10">
        <v>91000</v>
      </c>
      <c r="F17" s="10">
        <f>E10</f>
        <v>94000</v>
      </c>
      <c r="G17" s="10">
        <f t="shared" si="0"/>
        <v>3000</v>
      </c>
      <c r="H17" s="10">
        <f t="shared" si="1"/>
        <v>37000</v>
      </c>
    </row>
    <row r="18" spans="1:9" s="9" customFormat="1" ht="25.5" customHeight="1" x14ac:dyDescent="0.2">
      <c r="B18" s="33" t="s">
        <v>33</v>
      </c>
      <c r="C18" s="34"/>
      <c r="D18" s="10">
        <v>45000</v>
      </c>
      <c r="E18" s="10">
        <v>43600</v>
      </c>
      <c r="F18" s="10">
        <f>E10</f>
        <v>94000</v>
      </c>
      <c r="G18" s="10">
        <f t="shared" si="0"/>
        <v>50400</v>
      </c>
      <c r="H18" s="10">
        <f t="shared" si="1"/>
        <v>-5400</v>
      </c>
    </row>
    <row r="19" spans="1:9" s="9" customFormat="1" ht="25.5" customHeight="1" x14ac:dyDescent="0.2">
      <c r="B19" s="32" t="s">
        <v>39</v>
      </c>
      <c r="C19" s="32"/>
      <c r="D19" s="10">
        <v>75000</v>
      </c>
      <c r="E19" s="10">
        <v>43600</v>
      </c>
      <c r="F19" s="10">
        <f>E10</f>
        <v>94000</v>
      </c>
      <c r="G19" s="10">
        <f t="shared" si="0"/>
        <v>50400</v>
      </c>
      <c r="H19" s="10">
        <f t="shared" si="1"/>
        <v>24600</v>
      </c>
    </row>
    <row r="20" spans="1:9" s="9" customFormat="1" ht="25.5" customHeight="1" x14ac:dyDescent="0.2">
      <c r="B20" s="32" t="s">
        <v>34</v>
      </c>
      <c r="C20" s="32"/>
      <c r="D20" s="10">
        <v>75000</v>
      </c>
      <c r="E20" s="10">
        <v>43600</v>
      </c>
      <c r="F20" s="10">
        <f>E10</f>
        <v>94000</v>
      </c>
      <c r="G20" s="10">
        <f t="shared" si="0"/>
        <v>50400</v>
      </c>
      <c r="H20" s="10">
        <f t="shared" si="1"/>
        <v>24600</v>
      </c>
    </row>
    <row r="21" spans="1:9" s="9" customFormat="1" ht="25.5" customHeight="1" x14ac:dyDescent="0.2">
      <c r="B21" s="32" t="s">
        <v>35</v>
      </c>
      <c r="C21" s="32"/>
      <c r="D21" s="10">
        <v>75000</v>
      </c>
      <c r="E21" s="10">
        <v>43600</v>
      </c>
      <c r="F21" s="10">
        <f>E10</f>
        <v>94000</v>
      </c>
      <c r="G21" s="10">
        <f t="shared" si="0"/>
        <v>50400</v>
      </c>
      <c r="H21" s="10">
        <f t="shared" si="1"/>
        <v>24600</v>
      </c>
    </row>
    <row r="22" spans="1:9" s="9" customFormat="1" ht="25.5" customHeight="1" x14ac:dyDescent="0.2">
      <c r="B22" s="32" t="s">
        <v>9</v>
      </c>
      <c r="C22" s="32"/>
      <c r="D22" s="10">
        <v>65000</v>
      </c>
      <c r="E22" s="10">
        <v>87000</v>
      </c>
      <c r="F22" s="10">
        <f>E10</f>
        <v>94000</v>
      </c>
      <c r="G22" s="10">
        <f t="shared" si="0"/>
        <v>7000</v>
      </c>
      <c r="H22" s="10">
        <f t="shared" si="1"/>
        <v>58000</v>
      </c>
    </row>
    <row r="23" spans="1:9" s="9" customFormat="1" ht="25.5" customHeight="1" x14ac:dyDescent="0.2">
      <c r="B23" s="33" t="s">
        <v>10</v>
      </c>
      <c r="C23" s="34"/>
      <c r="D23" s="10">
        <v>80000</v>
      </c>
      <c r="E23" s="10">
        <v>91000</v>
      </c>
      <c r="F23" s="10">
        <f>E10</f>
        <v>94000</v>
      </c>
      <c r="G23" s="10">
        <f t="shared" si="0"/>
        <v>3000</v>
      </c>
      <c r="H23" s="10">
        <f t="shared" si="1"/>
        <v>77000</v>
      </c>
    </row>
    <row r="24" spans="1:9" s="9" customFormat="1" ht="25.5" customHeight="1" x14ac:dyDescent="0.2">
      <c r="B24" s="32" t="s">
        <v>11</v>
      </c>
      <c r="C24" s="32"/>
      <c r="D24" s="10">
        <v>60000</v>
      </c>
      <c r="E24" s="10">
        <v>91000</v>
      </c>
      <c r="F24" s="10">
        <f>E10</f>
        <v>94000</v>
      </c>
      <c r="G24" s="10">
        <f t="shared" si="0"/>
        <v>3000</v>
      </c>
      <c r="H24" s="10">
        <f t="shared" si="1"/>
        <v>57000</v>
      </c>
    </row>
    <row r="25" spans="1:9" ht="25.5" customHeight="1" x14ac:dyDescent="0.45">
      <c r="A25" s="9"/>
      <c r="B25" s="32" t="s">
        <v>12</v>
      </c>
      <c r="C25" s="32"/>
      <c r="D25" s="10">
        <v>90000</v>
      </c>
      <c r="E25" s="10">
        <v>43600</v>
      </c>
      <c r="F25" s="10">
        <f>E10</f>
        <v>94000</v>
      </c>
      <c r="G25" s="10">
        <f t="shared" si="0"/>
        <v>50400</v>
      </c>
      <c r="H25" s="10">
        <f t="shared" si="1"/>
        <v>39600</v>
      </c>
      <c r="I25" s="9"/>
    </row>
    <row r="26" spans="1:9" ht="19.5" x14ac:dyDescent="0.45">
      <c r="A26" s="9"/>
      <c r="B26" s="32" t="s">
        <v>13</v>
      </c>
      <c r="C26" s="32"/>
      <c r="D26" s="10">
        <v>80000</v>
      </c>
      <c r="E26" s="10">
        <v>43600</v>
      </c>
      <c r="F26" s="10">
        <f>E10</f>
        <v>94000</v>
      </c>
      <c r="G26" s="10">
        <f t="shared" si="0"/>
        <v>50400</v>
      </c>
      <c r="H26" s="10">
        <f t="shared" si="1"/>
        <v>29600</v>
      </c>
      <c r="I26" s="9"/>
    </row>
    <row r="27" spans="1:9" ht="19.5" x14ac:dyDescent="0.45">
      <c r="B27" s="32" t="s">
        <v>14</v>
      </c>
      <c r="C27" s="32"/>
      <c r="D27" s="10">
        <v>60000</v>
      </c>
      <c r="E27" s="10">
        <v>43600</v>
      </c>
      <c r="F27" s="10">
        <f>E10</f>
        <v>94000</v>
      </c>
      <c r="G27" s="10">
        <f t="shared" si="0"/>
        <v>50400</v>
      </c>
      <c r="H27" s="10">
        <f t="shared" si="1"/>
        <v>9600</v>
      </c>
    </row>
    <row r="28" spans="1:9" ht="8.4499999999999993" customHeight="1" x14ac:dyDescent="0.45"/>
    <row r="29" spans="1:9" ht="8.4499999999999993" customHeight="1" x14ac:dyDescent="0.45">
      <c r="A29"/>
      <c r="B29"/>
      <c r="C29"/>
      <c r="D29"/>
      <c r="E29"/>
      <c r="F29"/>
      <c r="G29"/>
      <c r="H29"/>
      <c r="I29"/>
    </row>
    <row r="30" spans="1:9" ht="25.5" x14ac:dyDescent="0.45">
      <c r="A30" s="89" t="s">
        <v>104</v>
      </c>
      <c r="B30" s="89"/>
      <c r="C30" s="89"/>
      <c r="D30" s="89"/>
      <c r="E30" s="89"/>
      <c r="F30" s="89"/>
      <c r="G30" s="89"/>
      <c r="H30" s="89"/>
      <c r="I30" s="89"/>
    </row>
    <row r="32" spans="1:9" ht="33.75" x14ac:dyDescent="0.45">
      <c r="A32" s="69" t="s">
        <v>88</v>
      </c>
      <c r="B32" s="70"/>
      <c r="C32" s="70"/>
      <c r="D32" s="70"/>
      <c r="E32" s="70"/>
      <c r="F32" s="70"/>
      <c r="G32" s="70"/>
      <c r="H32" s="70"/>
      <c r="I32" s="71"/>
    </row>
    <row r="33" spans="1:13" ht="42" x14ac:dyDescent="0.45">
      <c r="A33" s="50" t="s">
        <v>89</v>
      </c>
      <c r="B33" s="51"/>
      <c r="C33" s="16" t="s">
        <v>118</v>
      </c>
      <c r="D33" s="17" t="s">
        <v>90</v>
      </c>
      <c r="E33" s="55" t="s">
        <v>91</v>
      </c>
      <c r="F33" s="56"/>
      <c r="G33" s="56"/>
      <c r="H33" s="56"/>
      <c r="I33" s="57"/>
    </row>
    <row r="34" spans="1:13" ht="84.95" customHeight="1" x14ac:dyDescent="0.45">
      <c r="A34" s="64">
        <v>45619</v>
      </c>
      <c r="B34" s="65"/>
      <c r="C34" s="19">
        <v>85000</v>
      </c>
      <c r="D34" s="13" t="s">
        <v>119</v>
      </c>
      <c r="E34" s="66" t="s">
        <v>120</v>
      </c>
      <c r="F34" s="84"/>
      <c r="G34" s="84"/>
      <c r="H34" s="84"/>
      <c r="I34" s="67"/>
      <c r="M34" s="29"/>
    </row>
    <row r="36" spans="1:13" ht="33.75" x14ac:dyDescent="0.45">
      <c r="A36" s="69" t="s">
        <v>88</v>
      </c>
      <c r="B36" s="70"/>
      <c r="C36" s="70"/>
      <c r="D36" s="70"/>
      <c r="E36" s="70"/>
      <c r="F36" s="70"/>
      <c r="G36" s="70"/>
      <c r="H36" s="70"/>
      <c r="I36" s="71"/>
    </row>
    <row r="37" spans="1:13" ht="42" x14ac:dyDescent="0.45">
      <c r="A37" s="50" t="s">
        <v>89</v>
      </c>
      <c r="B37" s="51"/>
      <c r="C37" s="16" t="s">
        <v>118</v>
      </c>
      <c r="D37" s="17" t="s">
        <v>90</v>
      </c>
      <c r="E37" s="55" t="s">
        <v>91</v>
      </c>
      <c r="F37" s="56"/>
      <c r="G37" s="56"/>
      <c r="H37" s="56"/>
      <c r="I37" s="57"/>
    </row>
    <row r="38" spans="1:13" ht="21" customHeight="1" x14ac:dyDescent="0.45">
      <c r="A38" s="64">
        <v>45619</v>
      </c>
      <c r="B38" s="65"/>
      <c r="C38" s="19">
        <v>87000</v>
      </c>
      <c r="D38" s="13" t="s">
        <v>119</v>
      </c>
      <c r="E38" s="66" t="s">
        <v>9</v>
      </c>
      <c r="F38" s="84"/>
      <c r="G38" s="84"/>
      <c r="H38" s="84"/>
      <c r="I38" s="67"/>
      <c r="M38" s="29"/>
    </row>
    <row r="40" spans="1:13" ht="33.75" x14ac:dyDescent="0.45">
      <c r="A40" s="69" t="s">
        <v>88</v>
      </c>
      <c r="B40" s="70"/>
      <c r="C40" s="70"/>
      <c r="D40" s="70"/>
      <c r="E40" s="70"/>
      <c r="F40" s="70"/>
      <c r="G40" s="70"/>
      <c r="H40" s="70"/>
      <c r="I40" s="71"/>
    </row>
    <row r="41" spans="1:13" ht="42" x14ac:dyDescent="0.45">
      <c r="A41" s="50" t="s">
        <v>89</v>
      </c>
      <c r="B41" s="51"/>
      <c r="C41" s="16" t="s">
        <v>118</v>
      </c>
      <c r="D41" s="17" t="s">
        <v>90</v>
      </c>
      <c r="E41" s="55" t="s">
        <v>91</v>
      </c>
      <c r="F41" s="56"/>
      <c r="G41" s="56"/>
      <c r="H41" s="56"/>
      <c r="I41" s="57"/>
    </row>
    <row r="42" spans="1:13" ht="21" customHeight="1" x14ac:dyDescent="0.45">
      <c r="A42" s="64">
        <v>45619</v>
      </c>
      <c r="B42" s="65"/>
      <c r="C42" s="19">
        <v>87000</v>
      </c>
      <c r="D42" s="13"/>
      <c r="E42" s="66" t="s">
        <v>9</v>
      </c>
      <c r="F42" s="84"/>
      <c r="G42" s="84"/>
      <c r="H42" s="84"/>
      <c r="I42" s="67"/>
      <c r="M42" s="29"/>
    </row>
    <row r="44" spans="1:13" ht="33.75" x14ac:dyDescent="0.45">
      <c r="A44" s="69" t="s">
        <v>88</v>
      </c>
      <c r="B44" s="70"/>
      <c r="C44" s="70"/>
      <c r="D44" s="70"/>
      <c r="E44" s="70"/>
      <c r="F44" s="70"/>
      <c r="G44" s="70"/>
      <c r="H44" s="70"/>
      <c r="I44" s="71"/>
    </row>
    <row r="45" spans="1:13" ht="42" x14ac:dyDescent="0.45">
      <c r="A45" s="50" t="s">
        <v>89</v>
      </c>
      <c r="B45" s="51"/>
      <c r="C45" s="16" t="s">
        <v>118</v>
      </c>
      <c r="D45" s="17" t="s">
        <v>90</v>
      </c>
      <c r="E45" s="55" t="s">
        <v>91</v>
      </c>
      <c r="F45" s="56"/>
      <c r="G45" s="56"/>
      <c r="H45" s="56"/>
      <c r="I45" s="57"/>
    </row>
    <row r="46" spans="1:13" ht="106.35" customHeight="1" x14ac:dyDescent="0.45">
      <c r="A46" s="64">
        <v>45619</v>
      </c>
      <c r="B46" s="65"/>
      <c r="C46" s="19">
        <v>91000</v>
      </c>
      <c r="D46" s="13"/>
      <c r="E46" s="66" t="s">
        <v>121</v>
      </c>
      <c r="F46" s="84"/>
      <c r="G46" s="84"/>
      <c r="H46" s="84"/>
      <c r="I46" s="67"/>
      <c r="M46" s="29"/>
    </row>
  </sheetData>
  <sheetProtection sheet="1" objects="1" scenarios="1"/>
  <mergeCells count="53">
    <mergeCell ref="B26:C26"/>
    <mergeCell ref="B27:C27"/>
    <mergeCell ref="B20:C20"/>
    <mergeCell ref="B21:C21"/>
    <mergeCell ref="B22:C22"/>
    <mergeCell ref="B23:C23"/>
    <mergeCell ref="B24:C24"/>
    <mergeCell ref="B25:C25"/>
    <mergeCell ref="B19:C19"/>
    <mergeCell ref="A6:B6"/>
    <mergeCell ref="B10:D10"/>
    <mergeCell ref="E10:H10"/>
    <mergeCell ref="B11:C11"/>
    <mergeCell ref="B12:C12"/>
    <mergeCell ref="B13:C13"/>
    <mergeCell ref="B14:C14"/>
    <mergeCell ref="B15:C15"/>
    <mergeCell ref="B16:C16"/>
    <mergeCell ref="B17:C17"/>
    <mergeCell ref="B18:C18"/>
    <mergeCell ref="A7:B7"/>
    <mergeCell ref="C7:D7"/>
    <mergeCell ref="H7:I7"/>
    <mergeCell ref="A8:B8"/>
    <mergeCell ref="C8:D8"/>
    <mergeCell ref="H8:I8"/>
    <mergeCell ref="A2:I2"/>
    <mergeCell ref="A3:B3"/>
    <mergeCell ref="C3:G3"/>
    <mergeCell ref="A4:B4"/>
    <mergeCell ref="B5:E5"/>
    <mergeCell ref="G5:I5"/>
    <mergeCell ref="A30:I30"/>
    <mergeCell ref="A32:I32"/>
    <mergeCell ref="A33:B33"/>
    <mergeCell ref="E33:I33"/>
    <mergeCell ref="A34:B34"/>
    <mergeCell ref="E34:I34"/>
    <mergeCell ref="A36:I36"/>
    <mergeCell ref="A37:B37"/>
    <mergeCell ref="E37:I37"/>
    <mergeCell ref="A38:B38"/>
    <mergeCell ref="E38:I38"/>
    <mergeCell ref="A40:I40"/>
    <mergeCell ref="A41:B41"/>
    <mergeCell ref="E41:I41"/>
    <mergeCell ref="A42:B42"/>
    <mergeCell ref="E42:I42"/>
    <mergeCell ref="A44:I44"/>
    <mergeCell ref="A45:B45"/>
    <mergeCell ref="E45:I45"/>
    <mergeCell ref="A46:B46"/>
    <mergeCell ref="E46:I46"/>
  </mergeCells>
  <conditionalFormatting sqref="E11">
    <cfRule type="iconSet" priority="7">
      <iconSet>
        <cfvo type="percent" val="0"/>
        <cfvo type="num" val="100" gte="0"/>
        <cfvo type="num" val="501" gte="0"/>
      </iconSet>
    </cfRule>
  </conditionalFormatting>
  <conditionalFormatting sqref="H12:H27">
    <cfRule type="iconSet" priority="6">
      <iconSet iconSet="3Symbols2">
        <cfvo type="percent" val="0"/>
        <cfvo type="num" val="100" gte="0"/>
        <cfvo type="num" val="200" gte="0"/>
      </iconSet>
    </cfRule>
  </conditionalFormatting>
  <conditionalFormatting sqref="I9 I20:I28 I31 I35 I39 I43 I47:I1048576">
    <cfRule type="iconSet" priority="199">
      <iconSet>
        <cfvo type="percent" val="0"/>
        <cfvo type="num" val="100" gte="0"/>
        <cfvo type="num" val="501" gte="0"/>
      </iconSet>
    </cfRule>
  </conditionalFormatting>
  <conditionalFormatting sqref="I32:I34">
    <cfRule type="iconSet" priority="4">
      <iconSet>
        <cfvo type="percent" val="0"/>
        <cfvo type="num" val="100" gte="0"/>
        <cfvo type="num" val="501" gte="0"/>
      </iconSet>
    </cfRule>
  </conditionalFormatting>
  <conditionalFormatting sqref="I36:I38">
    <cfRule type="iconSet" priority="3">
      <iconSet>
        <cfvo type="percent" val="0"/>
        <cfvo type="num" val="100" gte="0"/>
        <cfvo type="num" val="501" gte="0"/>
      </iconSet>
    </cfRule>
  </conditionalFormatting>
  <conditionalFormatting sqref="I40:I42">
    <cfRule type="iconSet" priority="2">
      <iconSet>
        <cfvo type="percent" val="0"/>
        <cfvo type="num" val="100" gte="0"/>
        <cfvo type="num" val="501" gte="0"/>
      </iconSet>
    </cfRule>
  </conditionalFormatting>
  <conditionalFormatting sqref="I44:I46">
    <cfRule type="iconSet" priority="1">
      <iconSet>
        <cfvo type="percent" val="0"/>
        <cfvo type="num" val="100" gte="0"/>
        <cfvo type="num" val="501" gte="0"/>
      </iconSet>
    </cfRule>
  </conditionalFormatting>
  <printOptions horizontalCentered="1"/>
  <pageMargins left="0.27559055118110232" right="0.29527559055118108" top="0.55118110236220463" bottom="0.74803149606299213" header="0.31496062992125989" footer="0.31496062992125989"/>
  <pageSetup paperSize="9" orientation="portrait" r:id="rId1"/>
  <rowBreaks count="1" manualBreakCount="1">
    <brk id="28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N30"/>
  <sheetViews>
    <sheetView rightToLeft="1" view="pageLayout" topLeftCell="A16" zoomScaleNormal="100" workbookViewId="0">
      <selection activeCell="B27" sqref="B27:C27"/>
    </sheetView>
  </sheetViews>
  <sheetFormatPr defaultColWidth="9" defaultRowHeight="18" x14ac:dyDescent="0.45"/>
  <cols>
    <col min="1" max="1" width="9.375" style="1" customWidth="1"/>
    <col min="2" max="2" width="9.875" style="1" customWidth="1"/>
    <col min="3" max="4" width="9.375" style="1" customWidth="1"/>
    <col min="5" max="5" width="10" style="1" customWidth="1"/>
    <col min="6" max="6" width="10.25" style="1" customWidth="1"/>
    <col min="7" max="7" width="9.375" style="1" customWidth="1"/>
    <col min="8" max="8" width="10.75" style="1" customWidth="1"/>
    <col min="9" max="9" width="11" style="1" customWidth="1"/>
    <col min="10" max="10" width="5.375" style="1" customWidth="1"/>
    <col min="11" max="16384" width="9" style="1"/>
  </cols>
  <sheetData>
    <row r="1" spans="1:14" ht="12" customHeight="1" x14ac:dyDescent="0.45"/>
    <row r="2" spans="1:14" ht="26.25" customHeight="1" x14ac:dyDescent="0.45">
      <c r="A2" s="45" t="s">
        <v>19</v>
      </c>
      <c r="B2" s="45"/>
      <c r="C2" s="45"/>
      <c r="D2" s="45"/>
      <c r="E2" s="45"/>
      <c r="F2" s="45"/>
      <c r="G2" s="45"/>
      <c r="H2" s="45"/>
      <c r="I2" s="45"/>
    </row>
    <row r="3" spans="1:14" ht="39" customHeight="1" x14ac:dyDescent="0.45">
      <c r="A3" s="46" t="s">
        <v>20</v>
      </c>
      <c r="B3" s="46"/>
      <c r="C3" s="47" t="s">
        <v>15</v>
      </c>
      <c r="D3" s="47"/>
      <c r="E3" s="47"/>
      <c r="F3" s="47"/>
      <c r="G3" s="47"/>
      <c r="H3" s="13" t="s">
        <v>0</v>
      </c>
      <c r="I3" s="13" t="s">
        <v>1</v>
      </c>
    </row>
    <row r="4" spans="1:14" ht="26.25" customHeight="1" x14ac:dyDescent="0.45">
      <c r="A4" s="48" t="s">
        <v>70</v>
      </c>
      <c r="B4" s="48"/>
      <c r="C4" s="2" t="s">
        <v>21</v>
      </c>
      <c r="D4" s="2">
        <v>88</v>
      </c>
      <c r="E4" s="3">
        <v>32</v>
      </c>
      <c r="F4" s="3" t="s">
        <v>69</v>
      </c>
      <c r="G4" s="3">
        <v>786</v>
      </c>
      <c r="H4" s="4" t="s">
        <v>46</v>
      </c>
      <c r="I4" s="4" t="s">
        <v>46</v>
      </c>
    </row>
    <row r="5" spans="1:14" ht="25.5" customHeight="1" x14ac:dyDescent="0.45">
      <c r="A5" s="14" t="s">
        <v>2</v>
      </c>
      <c r="B5" s="58">
        <v>16480000295</v>
      </c>
      <c r="C5" s="58"/>
      <c r="D5" s="58"/>
      <c r="E5" s="58"/>
      <c r="F5" s="14" t="s">
        <v>22</v>
      </c>
      <c r="G5" s="58">
        <v>1</v>
      </c>
      <c r="H5" s="58"/>
      <c r="I5" s="58"/>
    </row>
    <row r="6" spans="1:14" ht="38.25" customHeight="1" x14ac:dyDescent="0.45">
      <c r="A6" s="38" t="s">
        <v>3</v>
      </c>
      <c r="B6" s="38"/>
      <c r="C6" s="14">
        <v>1393</v>
      </c>
      <c r="D6" s="13" t="s">
        <v>4</v>
      </c>
      <c r="E6" s="13" t="s">
        <v>42</v>
      </c>
      <c r="F6" s="13" t="s">
        <v>23</v>
      </c>
      <c r="G6" s="13">
        <v>1</v>
      </c>
      <c r="H6" s="13" t="s">
        <v>18</v>
      </c>
      <c r="I6" s="15">
        <v>44402</v>
      </c>
    </row>
    <row r="7" spans="1:14" ht="38.25" customHeight="1" x14ac:dyDescent="0.45">
      <c r="A7" s="50" t="s">
        <v>6</v>
      </c>
      <c r="B7" s="51"/>
      <c r="C7" s="50" t="s">
        <v>12</v>
      </c>
      <c r="D7" s="51"/>
      <c r="E7" s="14" t="s">
        <v>8</v>
      </c>
      <c r="F7" s="13" t="s">
        <v>105</v>
      </c>
      <c r="G7" s="13" t="s">
        <v>14</v>
      </c>
      <c r="H7" s="50" t="s">
        <v>13</v>
      </c>
      <c r="I7" s="51"/>
      <c r="J7" s="7"/>
      <c r="K7" s="5"/>
      <c r="L7" s="5"/>
      <c r="M7" s="5"/>
      <c r="N7" s="5"/>
    </row>
    <row r="8" spans="1:14" ht="38.25" customHeight="1" x14ac:dyDescent="0.45">
      <c r="A8" s="50"/>
      <c r="B8" s="51"/>
      <c r="C8" s="35"/>
      <c r="D8" s="37"/>
      <c r="E8" s="13"/>
      <c r="F8" s="13"/>
      <c r="G8" s="13"/>
      <c r="H8" s="50"/>
      <c r="I8" s="51"/>
    </row>
    <row r="9" spans="1:14" ht="23.25" customHeight="1" x14ac:dyDescent="0.45">
      <c r="B9" s="5"/>
      <c r="C9" s="5"/>
      <c r="D9" s="6"/>
      <c r="E9" s="6"/>
      <c r="F9" s="6"/>
      <c r="G9" s="6"/>
      <c r="H9" s="7"/>
      <c r="I9" s="7"/>
    </row>
    <row r="10" spans="1:14" s="9" customFormat="1" ht="42" customHeight="1" x14ac:dyDescent="0.45">
      <c r="A10" s="1"/>
      <c r="B10" s="39" t="s">
        <v>24</v>
      </c>
      <c r="C10" s="40"/>
      <c r="D10" s="41"/>
      <c r="E10" s="42">
        <f>Kilometrage!B12</f>
        <v>12000</v>
      </c>
      <c r="F10" s="42"/>
      <c r="G10" s="42"/>
      <c r="H10" s="42"/>
      <c r="I10" s="1"/>
    </row>
    <row r="11" spans="1:14" s="9" customFormat="1" ht="58.5" customHeight="1" x14ac:dyDescent="0.45">
      <c r="A11" s="1"/>
      <c r="B11" s="43" t="s">
        <v>25</v>
      </c>
      <c r="C11" s="44"/>
      <c r="D11" s="8" t="s">
        <v>5</v>
      </c>
      <c r="E11" s="8" t="s">
        <v>26</v>
      </c>
      <c r="F11" s="8" t="s">
        <v>27</v>
      </c>
      <c r="G11" s="8" t="s">
        <v>28</v>
      </c>
      <c r="H11" s="8" t="s">
        <v>48</v>
      </c>
      <c r="I11" s="1"/>
    </row>
    <row r="12" spans="1:14" s="9" customFormat="1" ht="25.5" customHeight="1" x14ac:dyDescent="0.2">
      <c r="B12" s="33" t="s">
        <v>6</v>
      </c>
      <c r="C12" s="34"/>
      <c r="D12" s="10">
        <v>7000</v>
      </c>
      <c r="E12" s="10">
        <v>12000</v>
      </c>
      <c r="F12" s="10">
        <f>E10</f>
        <v>12000</v>
      </c>
      <c r="G12" s="10">
        <f>F12-E12</f>
        <v>0</v>
      </c>
      <c r="H12" s="10">
        <f>D12-G12</f>
        <v>7000</v>
      </c>
    </row>
    <row r="13" spans="1:14" s="9" customFormat="1" ht="25.5" customHeight="1" x14ac:dyDescent="0.2">
      <c r="B13" s="33" t="s">
        <v>30</v>
      </c>
      <c r="C13" s="34"/>
      <c r="D13" s="10">
        <v>7500</v>
      </c>
      <c r="E13" s="10">
        <v>12000</v>
      </c>
      <c r="F13" s="10">
        <f>E10</f>
        <v>12000</v>
      </c>
      <c r="G13" s="10">
        <f t="shared" ref="G13:G27" si="0">F13-E13</f>
        <v>0</v>
      </c>
      <c r="H13" s="10">
        <f t="shared" ref="H13:H27" si="1">D13-G13</f>
        <v>7500</v>
      </c>
    </row>
    <row r="14" spans="1:14" s="9" customFormat="1" ht="25.5" customHeight="1" x14ac:dyDescent="0.2">
      <c r="B14" s="33" t="s">
        <v>31</v>
      </c>
      <c r="C14" s="34"/>
      <c r="D14" s="10">
        <v>6000</v>
      </c>
      <c r="E14" s="10">
        <v>1</v>
      </c>
      <c r="F14" s="10">
        <f>E10</f>
        <v>12000</v>
      </c>
      <c r="G14" s="10">
        <f t="shared" si="0"/>
        <v>11999</v>
      </c>
      <c r="H14" s="10">
        <f t="shared" si="1"/>
        <v>-5999</v>
      </c>
    </row>
    <row r="15" spans="1:14" s="9" customFormat="1" ht="25.5" customHeight="1" x14ac:dyDescent="0.2">
      <c r="B15" s="33" t="s">
        <v>32</v>
      </c>
      <c r="C15" s="34"/>
      <c r="D15" s="10">
        <v>14000</v>
      </c>
      <c r="E15" s="10">
        <v>12000</v>
      </c>
      <c r="F15" s="10">
        <f>E10</f>
        <v>12000</v>
      </c>
      <c r="G15" s="10">
        <f t="shared" si="0"/>
        <v>0</v>
      </c>
      <c r="H15" s="10">
        <f t="shared" si="1"/>
        <v>14000</v>
      </c>
    </row>
    <row r="16" spans="1:14" s="9" customFormat="1" ht="25.5" customHeight="1" x14ac:dyDescent="0.2">
      <c r="B16" s="33" t="s">
        <v>7</v>
      </c>
      <c r="C16" s="34"/>
      <c r="D16" s="10">
        <v>60000</v>
      </c>
      <c r="E16" s="10">
        <v>1</v>
      </c>
      <c r="F16" s="10">
        <f>E10</f>
        <v>12000</v>
      </c>
      <c r="G16" s="10">
        <f t="shared" si="0"/>
        <v>11999</v>
      </c>
      <c r="H16" s="10">
        <f t="shared" si="1"/>
        <v>48001</v>
      </c>
    </row>
    <row r="17" spans="1:9" s="9" customFormat="1" ht="25.5" customHeight="1" x14ac:dyDescent="0.2">
      <c r="B17" s="33" t="s">
        <v>8</v>
      </c>
      <c r="C17" s="34"/>
      <c r="D17" s="10">
        <v>32000</v>
      </c>
      <c r="E17" s="10">
        <v>12000</v>
      </c>
      <c r="F17" s="10">
        <f>E10</f>
        <v>12000</v>
      </c>
      <c r="G17" s="10">
        <f t="shared" si="0"/>
        <v>0</v>
      </c>
      <c r="H17" s="10">
        <f t="shared" si="1"/>
        <v>32000</v>
      </c>
    </row>
    <row r="18" spans="1:9" s="9" customFormat="1" ht="25.5" customHeight="1" x14ac:dyDescent="0.2">
      <c r="B18" s="33" t="s">
        <v>33</v>
      </c>
      <c r="C18" s="34"/>
      <c r="D18" s="10">
        <v>45000</v>
      </c>
      <c r="E18" s="10">
        <v>1</v>
      </c>
      <c r="F18" s="10">
        <f>E10</f>
        <v>12000</v>
      </c>
      <c r="G18" s="10">
        <f t="shared" si="0"/>
        <v>11999</v>
      </c>
      <c r="H18" s="10">
        <f t="shared" si="1"/>
        <v>33001</v>
      </c>
    </row>
    <row r="19" spans="1:9" s="9" customFormat="1" ht="25.5" customHeight="1" x14ac:dyDescent="0.2">
      <c r="B19" s="32" t="s">
        <v>39</v>
      </c>
      <c r="C19" s="32"/>
      <c r="D19" s="10">
        <v>75000</v>
      </c>
      <c r="E19" s="10">
        <v>1</v>
      </c>
      <c r="F19" s="10">
        <f>E10</f>
        <v>12000</v>
      </c>
      <c r="G19" s="10">
        <f t="shared" si="0"/>
        <v>11999</v>
      </c>
      <c r="H19" s="10">
        <f t="shared" si="1"/>
        <v>63001</v>
      </c>
    </row>
    <row r="20" spans="1:9" s="9" customFormat="1" ht="25.5" customHeight="1" x14ac:dyDescent="0.2">
      <c r="B20" s="32" t="s">
        <v>34</v>
      </c>
      <c r="C20" s="32"/>
      <c r="D20" s="10">
        <v>75000</v>
      </c>
      <c r="E20" s="10">
        <v>1</v>
      </c>
      <c r="F20" s="10">
        <f>E10</f>
        <v>12000</v>
      </c>
      <c r="G20" s="10">
        <f t="shared" si="0"/>
        <v>11999</v>
      </c>
      <c r="H20" s="10">
        <f t="shared" si="1"/>
        <v>63001</v>
      </c>
    </row>
    <row r="21" spans="1:9" s="9" customFormat="1" ht="25.5" customHeight="1" x14ac:dyDescent="0.2">
      <c r="B21" s="32" t="s">
        <v>35</v>
      </c>
      <c r="C21" s="32"/>
      <c r="D21" s="10">
        <v>75000</v>
      </c>
      <c r="E21" s="10">
        <v>1</v>
      </c>
      <c r="F21" s="10">
        <f>E10</f>
        <v>12000</v>
      </c>
      <c r="G21" s="10">
        <f t="shared" si="0"/>
        <v>11999</v>
      </c>
      <c r="H21" s="10">
        <f t="shared" si="1"/>
        <v>63001</v>
      </c>
    </row>
    <row r="22" spans="1:9" s="9" customFormat="1" ht="25.5" customHeight="1" x14ac:dyDescent="0.2">
      <c r="B22" s="32" t="s">
        <v>9</v>
      </c>
      <c r="C22" s="32"/>
      <c r="D22" s="10">
        <v>111</v>
      </c>
      <c r="E22" s="10">
        <v>12000</v>
      </c>
      <c r="F22" s="10">
        <f>E10</f>
        <v>12000</v>
      </c>
      <c r="G22" s="10">
        <f t="shared" si="0"/>
        <v>0</v>
      </c>
      <c r="H22" s="10">
        <f t="shared" si="1"/>
        <v>111</v>
      </c>
    </row>
    <row r="23" spans="1:9" s="9" customFormat="1" ht="25.5" customHeight="1" x14ac:dyDescent="0.2">
      <c r="B23" s="33" t="s">
        <v>10</v>
      </c>
      <c r="C23" s="34"/>
      <c r="D23" s="10">
        <v>80000</v>
      </c>
      <c r="E23" s="10">
        <v>1</v>
      </c>
      <c r="F23" s="10">
        <f>E10</f>
        <v>12000</v>
      </c>
      <c r="G23" s="10">
        <f t="shared" si="0"/>
        <v>11999</v>
      </c>
      <c r="H23" s="10">
        <f t="shared" si="1"/>
        <v>68001</v>
      </c>
    </row>
    <row r="24" spans="1:9" s="9" customFormat="1" ht="25.5" customHeight="1" x14ac:dyDescent="0.2">
      <c r="B24" s="32" t="s">
        <v>11</v>
      </c>
      <c r="C24" s="32"/>
      <c r="D24" s="10">
        <v>60000</v>
      </c>
      <c r="E24" s="10">
        <v>1</v>
      </c>
      <c r="F24" s="10">
        <f>E10</f>
        <v>12000</v>
      </c>
      <c r="G24" s="10">
        <f t="shared" si="0"/>
        <v>11999</v>
      </c>
      <c r="H24" s="10">
        <f t="shared" si="1"/>
        <v>48001</v>
      </c>
    </row>
    <row r="25" spans="1:9" ht="25.5" customHeight="1" x14ac:dyDescent="0.45">
      <c r="A25" s="9"/>
      <c r="B25" s="32" t="s">
        <v>12</v>
      </c>
      <c r="C25" s="32"/>
      <c r="D25" s="10">
        <v>90000</v>
      </c>
      <c r="E25" s="10">
        <v>1</v>
      </c>
      <c r="F25" s="10">
        <f>E10</f>
        <v>12000</v>
      </c>
      <c r="G25" s="10">
        <f t="shared" si="0"/>
        <v>11999</v>
      </c>
      <c r="H25" s="10">
        <f t="shared" si="1"/>
        <v>78001</v>
      </c>
      <c r="I25" s="9"/>
    </row>
    <row r="26" spans="1:9" ht="19.5" x14ac:dyDescent="0.45">
      <c r="A26" s="9"/>
      <c r="B26" s="32" t="s">
        <v>13</v>
      </c>
      <c r="C26" s="32"/>
      <c r="D26" s="10">
        <v>222</v>
      </c>
      <c r="E26" s="10">
        <v>12000</v>
      </c>
      <c r="F26" s="10">
        <f>E10</f>
        <v>12000</v>
      </c>
      <c r="G26" s="10">
        <f t="shared" si="0"/>
        <v>0</v>
      </c>
      <c r="H26" s="10">
        <f t="shared" si="1"/>
        <v>222</v>
      </c>
      <c r="I26" s="9"/>
    </row>
    <row r="27" spans="1:9" ht="19.5" x14ac:dyDescent="0.45">
      <c r="B27" s="32" t="s">
        <v>14</v>
      </c>
      <c r="C27" s="32"/>
      <c r="D27" s="10">
        <v>333</v>
      </c>
      <c r="E27" s="10">
        <v>12000</v>
      </c>
      <c r="F27" s="10">
        <f>E10</f>
        <v>12000</v>
      </c>
      <c r="G27" s="10">
        <f t="shared" si="0"/>
        <v>0</v>
      </c>
      <c r="H27" s="10">
        <f t="shared" si="1"/>
        <v>333</v>
      </c>
    </row>
    <row r="28" spans="1:9" ht="8.4499999999999993" customHeight="1" x14ac:dyDescent="0.45"/>
    <row r="29" spans="1:9" ht="8.4499999999999993" customHeight="1" x14ac:dyDescent="0.45">
      <c r="A29"/>
      <c r="B29"/>
      <c r="C29"/>
      <c r="D29"/>
      <c r="E29"/>
      <c r="F29"/>
      <c r="G29"/>
      <c r="H29"/>
      <c r="I29"/>
    </row>
    <row r="30" spans="1:9" ht="25.5" x14ac:dyDescent="0.45">
      <c r="A30" s="89" t="s">
        <v>104</v>
      </c>
      <c r="B30" s="89"/>
      <c r="C30" s="89"/>
      <c r="D30" s="89"/>
      <c r="E30" s="89"/>
      <c r="F30" s="89"/>
      <c r="G30" s="89"/>
      <c r="H30" s="89"/>
      <c r="I30" s="89"/>
    </row>
  </sheetData>
  <sheetProtection sheet="1" objects="1" scenarios="1"/>
  <mergeCells count="33">
    <mergeCell ref="B27:C27"/>
    <mergeCell ref="B20:C20"/>
    <mergeCell ref="B21:C21"/>
    <mergeCell ref="B22:C22"/>
    <mergeCell ref="B23:C23"/>
    <mergeCell ref="B24:C24"/>
    <mergeCell ref="B25:C25"/>
    <mergeCell ref="H7:I7"/>
    <mergeCell ref="A8:B8"/>
    <mergeCell ref="B26:C26"/>
    <mergeCell ref="B14:C14"/>
    <mergeCell ref="B15:C15"/>
    <mergeCell ref="B16:C16"/>
    <mergeCell ref="B17:C17"/>
    <mergeCell ref="B18:C18"/>
    <mergeCell ref="C8:D8"/>
    <mergeCell ref="H8:I8"/>
    <mergeCell ref="A30:I30"/>
    <mergeCell ref="A2:I2"/>
    <mergeCell ref="A3:B3"/>
    <mergeCell ref="C3:G3"/>
    <mergeCell ref="A4:B4"/>
    <mergeCell ref="B5:E5"/>
    <mergeCell ref="G5:I5"/>
    <mergeCell ref="B19:C19"/>
    <mergeCell ref="A6:B6"/>
    <mergeCell ref="B10:D10"/>
    <mergeCell ref="E10:H10"/>
    <mergeCell ref="B11:C11"/>
    <mergeCell ref="B12:C12"/>
    <mergeCell ref="B13:C13"/>
    <mergeCell ref="A7:B7"/>
    <mergeCell ref="C7:D7"/>
  </mergeCells>
  <conditionalFormatting sqref="E11">
    <cfRule type="iconSet" priority="2">
      <iconSet>
        <cfvo type="percent" val="0"/>
        <cfvo type="num" val="100" gte="0"/>
        <cfvo type="num" val="501" gte="0"/>
      </iconSet>
    </cfRule>
  </conditionalFormatting>
  <conditionalFormatting sqref="I9 I20:I28 I31:I1048576">
    <cfRule type="iconSet" priority="3">
      <iconSet>
        <cfvo type="percent" val="0"/>
        <cfvo type="num" val="100" gte="0"/>
        <cfvo type="num" val="501" gte="0"/>
      </iconSet>
    </cfRule>
  </conditionalFormatting>
  <conditionalFormatting sqref="H12:H27">
    <cfRule type="iconSet" priority="1">
      <iconSet iconSet="3Symbols2">
        <cfvo type="percent" val="0"/>
        <cfvo type="num" val="100" gte="0"/>
        <cfvo type="num" val="200" gte="0"/>
      </iconSet>
    </cfRule>
  </conditionalFormatting>
  <printOptions horizontalCentered="1"/>
  <pageMargins left="0.27559055118110232" right="0.29527559055118108" top="0.55118110236220463" bottom="0.74803149606299213" header="0.31496062992125989" footer="0.31496062992125989"/>
  <pageSetup paperSize="9" orientation="portrait" r:id="rId1"/>
  <rowBreaks count="1" manualBreakCount="1">
    <brk id="28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BE650-C308-4C0B-A26A-2F64475BCEDC}">
  <sheetPr codeName="Sheet15"/>
  <dimension ref="A1:N24"/>
  <sheetViews>
    <sheetView rightToLeft="1" view="pageLayout" topLeftCell="A10" zoomScaleNormal="100" workbookViewId="0">
      <selection activeCell="C28" sqref="C28"/>
    </sheetView>
  </sheetViews>
  <sheetFormatPr defaultColWidth="9" defaultRowHeight="18" x14ac:dyDescent="0.45"/>
  <cols>
    <col min="1" max="1" width="9.375" style="1" customWidth="1"/>
    <col min="2" max="2" width="9.875" style="1" customWidth="1"/>
    <col min="3" max="4" width="9.375" style="1" customWidth="1"/>
    <col min="5" max="5" width="10" style="1" customWidth="1"/>
    <col min="6" max="6" width="10.25" style="1" customWidth="1"/>
    <col min="7" max="7" width="9.375" style="1" customWidth="1"/>
    <col min="8" max="8" width="10.75" style="1" customWidth="1"/>
    <col min="9" max="9" width="11" style="1" customWidth="1"/>
    <col min="10" max="10" width="5.375" style="1" customWidth="1"/>
    <col min="11" max="16384" width="9" style="1"/>
  </cols>
  <sheetData>
    <row r="1" spans="1:14" ht="12" customHeight="1" x14ac:dyDescent="0.45"/>
    <row r="2" spans="1:14" ht="26.25" x14ac:dyDescent="0.45">
      <c r="A2" s="45" t="s">
        <v>19</v>
      </c>
      <c r="B2" s="45"/>
      <c r="C2" s="45"/>
      <c r="D2" s="45"/>
      <c r="E2" s="45"/>
      <c r="F2" s="45"/>
      <c r="G2" s="45"/>
      <c r="H2" s="45"/>
      <c r="I2" s="45"/>
    </row>
    <row r="3" spans="1:14" ht="39" customHeight="1" x14ac:dyDescent="0.45">
      <c r="A3" s="46" t="s">
        <v>20</v>
      </c>
      <c r="B3" s="46"/>
      <c r="C3" s="47" t="s">
        <v>15</v>
      </c>
      <c r="D3" s="47"/>
      <c r="E3" s="47"/>
      <c r="F3" s="47"/>
      <c r="G3" s="47"/>
      <c r="H3" s="13" t="s">
        <v>0</v>
      </c>
      <c r="I3" s="13" t="s">
        <v>1</v>
      </c>
    </row>
    <row r="4" spans="1:14" ht="26.25" x14ac:dyDescent="0.45">
      <c r="A4" s="48" t="s">
        <v>110</v>
      </c>
      <c r="B4" s="48"/>
      <c r="C4" s="2">
        <v>22</v>
      </c>
      <c r="D4" s="2" t="s">
        <v>109</v>
      </c>
      <c r="E4" s="3">
        <v>333</v>
      </c>
      <c r="F4" s="2" t="s">
        <v>21</v>
      </c>
      <c r="G4" s="3">
        <v>66</v>
      </c>
      <c r="H4" s="4" t="s">
        <v>112</v>
      </c>
      <c r="I4" s="4" t="s">
        <v>113</v>
      </c>
    </row>
    <row r="5" spans="1:14" ht="25.5" customHeight="1" x14ac:dyDescent="0.45">
      <c r="A5" s="14" t="s">
        <v>2</v>
      </c>
      <c r="B5" s="58">
        <v>654</v>
      </c>
      <c r="C5" s="58"/>
      <c r="D5" s="58"/>
      <c r="E5" s="58"/>
      <c r="F5" s="14" t="s">
        <v>22</v>
      </c>
      <c r="G5" s="58">
        <v>321</v>
      </c>
      <c r="H5" s="58"/>
      <c r="I5" s="58"/>
    </row>
    <row r="6" spans="1:14" ht="38.25" customHeight="1" x14ac:dyDescent="0.45">
      <c r="A6" s="38" t="s">
        <v>3</v>
      </c>
      <c r="B6" s="38"/>
      <c r="C6" s="14">
        <v>1396</v>
      </c>
      <c r="D6" s="13" t="s">
        <v>4</v>
      </c>
      <c r="E6" s="13" t="s">
        <v>111</v>
      </c>
      <c r="F6" s="13" t="s">
        <v>23</v>
      </c>
      <c r="G6" s="13" t="s">
        <v>114</v>
      </c>
      <c r="H6" s="13" t="s">
        <v>18</v>
      </c>
      <c r="I6" s="15">
        <v>45616</v>
      </c>
    </row>
    <row r="7" spans="1:14" ht="38.25" customHeight="1" x14ac:dyDescent="0.45">
      <c r="A7" s="50" t="s">
        <v>6</v>
      </c>
      <c r="B7" s="51"/>
      <c r="C7" s="50" t="s">
        <v>12</v>
      </c>
      <c r="D7" s="51"/>
      <c r="E7" s="14" t="s">
        <v>8</v>
      </c>
      <c r="F7" s="13" t="s">
        <v>105</v>
      </c>
      <c r="G7" s="13" t="s">
        <v>14</v>
      </c>
      <c r="H7" s="50" t="s">
        <v>13</v>
      </c>
      <c r="I7" s="51"/>
    </row>
    <row r="8" spans="1:14" ht="38.25" customHeight="1" x14ac:dyDescent="0.45">
      <c r="A8" s="50" t="s">
        <v>115</v>
      </c>
      <c r="B8" s="51"/>
      <c r="C8" s="35" t="s">
        <v>108</v>
      </c>
      <c r="D8" s="37"/>
      <c r="E8" s="13" t="s">
        <v>106</v>
      </c>
      <c r="F8" s="13" t="s">
        <v>107</v>
      </c>
      <c r="G8" s="13"/>
      <c r="H8" s="50" t="s">
        <v>116</v>
      </c>
      <c r="I8" s="51"/>
    </row>
    <row r="9" spans="1:14" ht="23.25" customHeight="1" x14ac:dyDescent="0.45">
      <c r="B9" s="5"/>
      <c r="C9" s="5"/>
      <c r="D9" s="6"/>
      <c r="E9" s="6"/>
      <c r="F9" s="6"/>
      <c r="G9" s="6"/>
      <c r="H9" s="7"/>
      <c r="I9" s="7"/>
      <c r="J9" s="7"/>
      <c r="K9" s="5"/>
      <c r="L9" s="5"/>
      <c r="M9" s="5"/>
      <c r="N9" s="5"/>
    </row>
    <row r="10" spans="1:14" ht="42" customHeight="1" x14ac:dyDescent="0.45">
      <c r="B10" s="39" t="s">
        <v>24</v>
      </c>
      <c r="C10" s="40"/>
      <c r="D10" s="41"/>
      <c r="E10" s="42">
        <f>Kilometrage!B13</f>
        <v>120000</v>
      </c>
      <c r="F10" s="42"/>
      <c r="G10" s="42"/>
      <c r="H10" s="42"/>
    </row>
    <row r="11" spans="1:14" ht="58.5" customHeight="1" x14ac:dyDescent="0.45">
      <c r="B11" s="43" t="s">
        <v>25</v>
      </c>
      <c r="C11" s="44"/>
      <c r="D11" s="8" t="s">
        <v>5</v>
      </c>
      <c r="E11" s="8" t="s">
        <v>26</v>
      </c>
      <c r="F11" s="8" t="s">
        <v>27</v>
      </c>
      <c r="G11" s="8" t="s">
        <v>28</v>
      </c>
      <c r="H11" s="8" t="s">
        <v>48</v>
      </c>
    </row>
    <row r="12" spans="1:14" s="9" customFormat="1" ht="25.5" customHeight="1" x14ac:dyDescent="0.2">
      <c r="B12" s="33" t="s">
        <v>6</v>
      </c>
      <c r="C12" s="34"/>
      <c r="D12" s="10">
        <v>6000</v>
      </c>
      <c r="E12" s="10">
        <v>91000</v>
      </c>
      <c r="F12" s="10">
        <f>E10</f>
        <v>120000</v>
      </c>
      <c r="G12" s="10">
        <f>F12-E12</f>
        <v>29000</v>
      </c>
      <c r="H12" s="10">
        <f>D12-G12</f>
        <v>-23000</v>
      </c>
    </row>
    <row r="13" spans="1:14" s="9" customFormat="1" ht="25.5" customHeight="1" x14ac:dyDescent="0.2">
      <c r="B13" s="33" t="s">
        <v>30</v>
      </c>
      <c r="C13" s="34"/>
      <c r="D13" s="10">
        <v>11000</v>
      </c>
      <c r="E13" s="10">
        <v>96000</v>
      </c>
      <c r="F13" s="10">
        <f>E10</f>
        <v>120000</v>
      </c>
      <c r="G13" s="10">
        <f t="shared" ref="G13:G21" si="0">F13-E13</f>
        <v>24000</v>
      </c>
      <c r="H13" s="10">
        <f t="shared" ref="H13:H21" si="1">D13-G13</f>
        <v>-13000</v>
      </c>
    </row>
    <row r="14" spans="1:14" s="9" customFormat="1" ht="25.5" customHeight="1" x14ac:dyDescent="0.2">
      <c r="B14" s="33" t="s">
        <v>7</v>
      </c>
      <c r="C14" s="34"/>
      <c r="D14" s="10">
        <v>60000</v>
      </c>
      <c r="E14" s="10">
        <v>92000</v>
      </c>
      <c r="F14" s="10">
        <f>E10</f>
        <v>120000</v>
      </c>
      <c r="G14" s="10">
        <f t="shared" si="0"/>
        <v>28000</v>
      </c>
      <c r="H14" s="10">
        <f t="shared" si="1"/>
        <v>32000</v>
      </c>
    </row>
    <row r="15" spans="1:14" s="9" customFormat="1" ht="25.5" customHeight="1" x14ac:dyDescent="0.2">
      <c r="B15" s="33" t="s">
        <v>8</v>
      </c>
      <c r="C15" s="34"/>
      <c r="D15" s="10">
        <v>40000</v>
      </c>
      <c r="E15" s="10">
        <v>71000</v>
      </c>
      <c r="F15" s="10">
        <f>E10</f>
        <v>120000</v>
      </c>
      <c r="G15" s="10">
        <f t="shared" si="0"/>
        <v>49000</v>
      </c>
      <c r="H15" s="10">
        <f t="shared" si="1"/>
        <v>-9000</v>
      </c>
    </row>
    <row r="16" spans="1:14" s="9" customFormat="1" ht="25.5" customHeight="1" x14ac:dyDescent="0.2">
      <c r="B16" s="33" t="s">
        <v>33</v>
      </c>
      <c r="C16" s="34"/>
      <c r="D16" s="10">
        <v>45000</v>
      </c>
      <c r="E16" s="10">
        <v>96000</v>
      </c>
      <c r="F16" s="10">
        <f>E10</f>
        <v>120000</v>
      </c>
      <c r="G16" s="10">
        <f t="shared" si="0"/>
        <v>24000</v>
      </c>
      <c r="H16" s="10">
        <f t="shared" si="1"/>
        <v>21000</v>
      </c>
    </row>
    <row r="17" spans="1:9" s="9" customFormat="1" ht="25.5" customHeight="1" x14ac:dyDescent="0.2">
      <c r="B17" s="32" t="s">
        <v>39</v>
      </c>
      <c r="C17" s="32"/>
      <c r="D17" s="10">
        <v>75000</v>
      </c>
      <c r="E17" s="10">
        <v>96000</v>
      </c>
      <c r="F17" s="10">
        <f>E10</f>
        <v>120000</v>
      </c>
      <c r="G17" s="10">
        <f t="shared" si="0"/>
        <v>24000</v>
      </c>
      <c r="H17" s="10">
        <f t="shared" si="1"/>
        <v>51000</v>
      </c>
    </row>
    <row r="18" spans="1:9" s="9" customFormat="1" ht="25.5" customHeight="1" x14ac:dyDescent="0.2">
      <c r="B18" s="32" t="s">
        <v>34</v>
      </c>
      <c r="C18" s="32"/>
      <c r="D18" s="10">
        <v>75000</v>
      </c>
      <c r="E18" s="10">
        <v>96000</v>
      </c>
      <c r="F18" s="10">
        <f>E10</f>
        <v>120000</v>
      </c>
      <c r="G18" s="10">
        <f t="shared" si="0"/>
        <v>24000</v>
      </c>
      <c r="H18" s="10">
        <f t="shared" si="1"/>
        <v>51000</v>
      </c>
    </row>
    <row r="19" spans="1:9" s="9" customFormat="1" ht="25.5" customHeight="1" x14ac:dyDescent="0.2">
      <c r="B19" s="32" t="s">
        <v>9</v>
      </c>
      <c r="C19" s="32"/>
      <c r="D19" s="10">
        <v>25000</v>
      </c>
      <c r="E19" s="10">
        <v>96000</v>
      </c>
      <c r="F19" s="10">
        <f>E10</f>
        <v>120000</v>
      </c>
      <c r="G19" s="10">
        <f t="shared" si="0"/>
        <v>24000</v>
      </c>
      <c r="H19" s="10">
        <f t="shared" si="1"/>
        <v>1000</v>
      </c>
    </row>
    <row r="20" spans="1:9" s="9" customFormat="1" ht="25.5" customHeight="1" x14ac:dyDescent="0.2">
      <c r="B20" s="33" t="s">
        <v>10</v>
      </c>
      <c r="C20" s="34"/>
      <c r="D20" s="10">
        <v>80000</v>
      </c>
      <c r="E20" s="10">
        <v>96000</v>
      </c>
      <c r="F20" s="10">
        <f>E10</f>
        <v>120000</v>
      </c>
      <c r="G20" s="10">
        <f t="shared" si="0"/>
        <v>24000</v>
      </c>
      <c r="H20" s="10">
        <f t="shared" si="1"/>
        <v>56000</v>
      </c>
    </row>
    <row r="21" spans="1:9" s="9" customFormat="1" ht="25.5" customHeight="1" x14ac:dyDescent="0.2">
      <c r="B21" s="32" t="s">
        <v>12</v>
      </c>
      <c r="C21" s="32"/>
      <c r="D21" s="10">
        <v>90000</v>
      </c>
      <c r="E21" s="10">
        <v>66000</v>
      </c>
      <c r="F21" s="10">
        <f>E10</f>
        <v>120000</v>
      </c>
      <c r="G21" s="10">
        <f t="shared" si="0"/>
        <v>54000</v>
      </c>
      <c r="H21" s="10">
        <f t="shared" si="1"/>
        <v>36000</v>
      </c>
    </row>
    <row r="22" spans="1:9" s="9" customFormat="1" ht="8.4499999999999993" customHeight="1" x14ac:dyDescent="0.2">
      <c r="B22" s="27"/>
      <c r="C22" s="27"/>
      <c r="D22" s="28"/>
      <c r="E22" s="28"/>
      <c r="F22" s="28"/>
      <c r="G22" s="28"/>
      <c r="H22" s="28"/>
    </row>
    <row r="23" spans="1:9" ht="8.4499999999999993" customHeight="1" x14ac:dyDescent="0.45">
      <c r="A23"/>
      <c r="B23"/>
      <c r="C23"/>
      <c r="D23"/>
      <c r="E23"/>
      <c r="F23"/>
      <c r="G23"/>
      <c r="H23"/>
      <c r="I23"/>
    </row>
    <row r="24" spans="1:9" ht="25.5" x14ac:dyDescent="0.45">
      <c r="A24" s="89" t="s">
        <v>104</v>
      </c>
      <c r="B24" s="89"/>
      <c r="C24" s="89"/>
      <c r="D24" s="89"/>
      <c r="E24" s="89"/>
      <c r="F24" s="89"/>
      <c r="G24" s="89"/>
      <c r="H24" s="89"/>
      <c r="I24" s="89"/>
    </row>
  </sheetData>
  <sheetProtection sheet="1" objects="1" scenarios="1"/>
  <mergeCells count="27">
    <mergeCell ref="B21:C21"/>
    <mergeCell ref="B14:C14"/>
    <mergeCell ref="B15:C15"/>
    <mergeCell ref="B16:C16"/>
    <mergeCell ref="B17:C17"/>
    <mergeCell ref="B18:C18"/>
    <mergeCell ref="B11:C11"/>
    <mergeCell ref="B12:C12"/>
    <mergeCell ref="B13:C13"/>
    <mergeCell ref="B19:C19"/>
    <mergeCell ref="B20:C20"/>
    <mergeCell ref="A24:I24"/>
    <mergeCell ref="A2:I2"/>
    <mergeCell ref="A3:B3"/>
    <mergeCell ref="C3:G3"/>
    <mergeCell ref="A4:B4"/>
    <mergeCell ref="B5:E5"/>
    <mergeCell ref="G5:I5"/>
    <mergeCell ref="A6:B6"/>
    <mergeCell ref="A7:B7"/>
    <mergeCell ref="C7:D7"/>
    <mergeCell ref="H7:I7"/>
    <mergeCell ref="A8:B8"/>
    <mergeCell ref="C8:D8"/>
    <mergeCell ref="H8:I8"/>
    <mergeCell ref="B10:D10"/>
    <mergeCell ref="E10:H10"/>
  </mergeCells>
  <conditionalFormatting sqref="E11">
    <cfRule type="iconSet" priority="2">
      <iconSet>
        <cfvo type="percent" val="0"/>
        <cfvo type="num" val="100" gte="0"/>
        <cfvo type="num" val="501" gte="0"/>
      </iconSet>
    </cfRule>
  </conditionalFormatting>
  <conditionalFormatting sqref="I18:I22 I9 I25:I1048576">
    <cfRule type="iconSet" priority="3">
      <iconSet>
        <cfvo type="percent" val="0"/>
        <cfvo type="num" val="100" gte="0"/>
        <cfvo type="num" val="501" gte="0"/>
      </iconSet>
    </cfRule>
  </conditionalFormatting>
  <conditionalFormatting sqref="H12:H22">
    <cfRule type="iconSet" priority="194">
      <iconSet iconSet="3Symbols2">
        <cfvo type="percent" val="0"/>
        <cfvo type="num" val="100" gte="0"/>
        <cfvo type="num" val="200" gte="0"/>
      </iconSet>
    </cfRule>
  </conditionalFormatting>
  <printOptions horizontalCentered="1"/>
  <pageMargins left="0.27559055118110232" right="0.29527559055118108" top="0.55118110236220463" bottom="0.74803149606299213" header="0.31496062992125989" footer="0.31496062992125989"/>
  <pageSetup paperSize="9" orientation="portrait" r:id="rId1"/>
  <rowBreaks count="1" manualBreakCount="1">
    <brk id="22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767EF4-E187-45B3-B17A-16E541581F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Kilometrage</vt:lpstr>
      <vt:lpstr>Raw</vt:lpstr>
      <vt:lpstr>خودرو33ی333</vt:lpstr>
      <vt:lpstr>خودرو12ی547</vt:lpstr>
      <vt:lpstr>موتور21-12221</vt:lpstr>
      <vt:lpstr>موتور137-36911</vt:lpstr>
      <vt:lpstr>موتور137-36929</vt:lpstr>
      <vt:lpstr>موتور131-24926</vt:lpstr>
      <vt:lpstr>موتور131-46381</vt:lpstr>
      <vt:lpstr>موتور128-34848</vt:lpstr>
      <vt:lpstr>خودرو47ج365</vt:lpstr>
      <vt:lpstr>خودرو26س928</vt:lpstr>
      <vt:lpstr>خودرو32د786</vt:lpstr>
      <vt:lpstr>خودرو22ق333</vt:lpstr>
      <vt:lpstr>Status10</vt:lpstr>
      <vt:lpstr>Status11</vt:lpstr>
      <vt:lpstr>Status12</vt:lpstr>
      <vt:lpstr>Status13</vt:lpstr>
      <vt:lpstr>Status14</vt:lpstr>
      <vt:lpstr>Status3</vt:lpstr>
      <vt:lpstr>Status4</vt:lpstr>
      <vt:lpstr>Status5</vt:lpstr>
      <vt:lpstr>Status6</vt:lpstr>
      <vt:lpstr>Status7</vt:lpstr>
      <vt:lpstr>Status8</vt:lpstr>
      <vt:lpstr>Status9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M.Amin Shafeie</dc:creator>
  <cp:lastModifiedBy>mohammad amin shafeie</cp:lastModifiedBy>
  <cp:lastPrinted>2024-11-24T18:20:43Z</cp:lastPrinted>
  <dcterms:created xsi:type="dcterms:W3CDTF">2021-07-08T07:18:15Z</dcterms:created>
  <dcterms:modified xsi:type="dcterms:W3CDTF">2024-12-25T10:10:24Z</dcterms:modified>
</cp:coreProperties>
</file>